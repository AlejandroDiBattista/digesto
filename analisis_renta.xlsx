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Documents/GitHub/digesto/"/>
    </mc:Choice>
  </mc:AlternateContent>
  <xr:revisionPtr revIDLastSave="0" documentId="10_ncr:8140008_{2A554E9D-9ADA-A548-A6C6-AE8A0D8EADBB}" xr6:coauthVersionLast="34" xr6:coauthVersionMax="34" xr10:uidLastSave="{00000000-0000-0000-0000-000000000000}"/>
  <bookViews>
    <workbookView xWindow="80" yWindow="460" windowWidth="25440" windowHeight="15000"/>
  </bookViews>
  <sheets>
    <sheet name="renta" sheetId="1" r:id="rId1"/>
  </sheets>
  <calcPr calcId="162913"/>
</workbook>
</file>

<file path=xl/calcChain.xml><?xml version="1.0" encoding="utf-8"?>
<calcChain xmlns="http://schemas.openxmlformats.org/spreadsheetml/2006/main">
  <c r="I28" i="1" l="1"/>
  <c r="I27" i="1" s="1"/>
  <c r="I30" i="1" s="1"/>
  <c r="H28" i="1"/>
  <c r="H27" i="1" s="1"/>
  <c r="G28" i="1"/>
  <c r="G27" i="1"/>
  <c r="F27" i="1"/>
  <c r="F28" i="1"/>
  <c r="G30" i="1" s="1"/>
  <c r="G23" i="1"/>
  <c r="F23" i="1"/>
  <c r="E28" i="1"/>
  <c r="K3" i="1"/>
  <c r="I17" i="1"/>
  <c r="I9" i="1"/>
  <c r="I4" i="1"/>
  <c r="I3" i="1"/>
  <c r="I5" i="1"/>
  <c r="I19" i="1"/>
  <c r="I8" i="1"/>
  <c r="I10" i="1"/>
  <c r="I6" i="1"/>
  <c r="I7" i="1"/>
  <c r="I11" i="1"/>
  <c r="I15" i="1"/>
  <c r="I13" i="1"/>
  <c r="I16" i="1"/>
  <c r="I14" i="1"/>
  <c r="I18" i="1"/>
  <c r="I2" i="1"/>
  <c r="I12" i="1"/>
  <c r="H30" i="1" l="1"/>
  <c r="H23" i="1"/>
  <c r="F30" i="1" s="1"/>
</calcChain>
</file>

<file path=xl/sharedStrings.xml><?xml version="1.0" encoding="utf-8"?>
<sst xmlns="http://schemas.openxmlformats.org/spreadsheetml/2006/main" count="58" uniqueCount="26">
  <si>
    <t>padron</t>
  </si>
  <si>
    <t>bajado</t>
  </si>
  <si>
    <t>true</t>
  </si>
  <si>
    <t xml:space="preserve"> 2.5%</t>
  </si>
  <si>
    <t xml:space="preserve"> 0.8%</t>
  </si>
  <si>
    <t xml:space="preserve"> pagado</t>
  </si>
  <si>
    <t xml:space="preserve"> 1.5%</t>
  </si>
  <si>
    <t>0.8%</t>
  </si>
  <si>
    <t>1.5%</t>
  </si>
  <si>
    <t>alicuota</t>
  </si>
  <si>
    <t>total_smt</t>
  </si>
  <si>
    <t>ph_smt</t>
  </si>
  <si>
    <t>mejoras_smt</t>
  </si>
  <si>
    <t>terreno_smt</t>
  </si>
  <si>
    <t>total_yb</t>
  </si>
  <si>
    <t>relacion</t>
  </si>
  <si>
    <t>Morosidad</t>
  </si>
  <si>
    <t>Actual</t>
  </si>
  <si>
    <t>Recaudacion</t>
  </si>
  <si>
    <t>Escenario 1</t>
  </si>
  <si>
    <t>Base Valoracion</t>
  </si>
  <si>
    <t>Actualizacion</t>
  </si>
  <si>
    <t>Variacion</t>
  </si>
  <si>
    <t>Escenario 2</t>
  </si>
  <si>
    <t>Escenario 3</t>
  </si>
  <si>
    <t>Escenario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</si>
</sst>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/>
    <xf numFmtId="165" fontId="0" fillId="0" borderId="0" xfId="0" applyNumberFormat="1"/>
    <xf numFmtId="165" fontId="16" fillId="0" borderId="0" xfId="1" applyNumberFormat="1" applyFont="1"/>
    <xf numFmtId="9" fontId="16" fillId="0" borderId="0" xfId="2" applyFont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F25" sqref="F25"/>
    </sheetView>
  </sheetViews>
  <sheetFormatPr baseColWidth="10" defaultRowHeight="16"/>
  <cols>
    <col min="3" max="3" width="13" style="1" bestFit="1" customWidth="1"/>
    <col min="4" max="4" width="15.6640625" style="1" bestFit="1" customWidth="1"/>
    <col min="5" max="5" width="11" style="1" bestFit="1" customWidth="1"/>
    <col min="6" max="6" width="13" style="1" bestFit="1" customWidth="1"/>
  </cols>
  <sheetData>
    <row r="1" spans="1:11">
      <c r="A1" t="s">
        <v>0</v>
      </c>
      <c r="B1" t="s">
        <v>1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14</v>
      </c>
      <c r="H1" t="s">
        <v>9</v>
      </c>
      <c r="I1" s="1" t="s">
        <v>15</v>
      </c>
    </row>
    <row r="2" spans="1:11">
      <c r="A2">
        <v>80560</v>
      </c>
      <c r="B2" t="s">
        <v>2</v>
      </c>
      <c r="C2" s="1">
        <v>36876.58</v>
      </c>
      <c r="D2" s="1">
        <v>85156.26</v>
      </c>
      <c r="E2" s="1">
        <v>0</v>
      </c>
      <c r="F2" s="1">
        <v>122032.83</v>
      </c>
      <c r="G2" s="1">
        <v>1305</v>
      </c>
      <c r="H2" s="2" t="s">
        <v>8</v>
      </c>
      <c r="I2" s="4">
        <f>G2/F2</f>
        <v>1.0693843615689319E-2</v>
      </c>
    </row>
    <row r="3" spans="1:11">
      <c r="A3">
        <v>676124</v>
      </c>
      <c r="B3" t="s">
        <v>2</v>
      </c>
      <c r="C3" s="1">
        <v>482721.4</v>
      </c>
      <c r="D3" s="1">
        <v>2275762.79</v>
      </c>
      <c r="E3" s="1">
        <v>0</v>
      </c>
      <c r="F3" s="1">
        <v>2758484.2</v>
      </c>
      <c r="G3" s="1">
        <v>551749</v>
      </c>
      <c r="H3" s="2" t="s">
        <v>4</v>
      </c>
      <c r="I3" s="4">
        <f>G3/F3</f>
        <v>0.20001890893556684</v>
      </c>
      <c r="K3">
        <f>F3/G3</f>
        <v>4.9995273213000839</v>
      </c>
    </row>
    <row r="4" spans="1:11">
      <c r="A4">
        <v>536662</v>
      </c>
      <c r="B4" t="s">
        <v>2</v>
      </c>
      <c r="C4" s="1">
        <v>293499.25</v>
      </c>
      <c r="D4" s="1">
        <v>0</v>
      </c>
      <c r="E4" s="1">
        <v>0</v>
      </c>
      <c r="F4" s="1">
        <v>293499.25</v>
      </c>
      <c r="G4" s="1">
        <v>135400</v>
      </c>
      <c r="H4" s="2" t="s">
        <v>4</v>
      </c>
      <c r="I4" s="4">
        <f>G4/F4</f>
        <v>0.46132996932700848</v>
      </c>
    </row>
    <row r="5" spans="1:11">
      <c r="A5">
        <v>677827</v>
      </c>
      <c r="B5" t="s">
        <v>2</v>
      </c>
      <c r="C5" s="1">
        <v>28925.45</v>
      </c>
      <c r="D5" s="1">
        <v>0</v>
      </c>
      <c r="E5" s="1">
        <v>0</v>
      </c>
      <c r="F5" s="1">
        <v>28925.45</v>
      </c>
      <c r="G5" s="1">
        <v>15551</v>
      </c>
      <c r="H5" s="2" t="s">
        <v>4</v>
      </c>
      <c r="I5" s="4">
        <f>G5/F5</f>
        <v>0.53762344233192572</v>
      </c>
    </row>
    <row r="6" spans="1:11">
      <c r="A6">
        <v>876704</v>
      </c>
      <c r="B6" t="s">
        <v>2</v>
      </c>
      <c r="C6" s="1">
        <v>96667.86</v>
      </c>
      <c r="D6" s="1">
        <v>0</v>
      </c>
      <c r="E6" s="1">
        <v>0</v>
      </c>
      <c r="F6" s="1">
        <v>96667.86</v>
      </c>
      <c r="G6" s="1">
        <v>51971</v>
      </c>
      <c r="H6" s="2" t="s">
        <v>6</v>
      </c>
      <c r="I6" s="4">
        <f>G6/F6</f>
        <v>0.5376243976022641</v>
      </c>
    </row>
    <row r="7" spans="1:11">
      <c r="A7">
        <v>876705</v>
      </c>
      <c r="B7" t="s">
        <v>2</v>
      </c>
      <c r="C7" s="1">
        <v>94291.95</v>
      </c>
      <c r="D7" s="1">
        <v>0</v>
      </c>
      <c r="E7" s="1">
        <v>0</v>
      </c>
      <c r="F7" s="1">
        <v>94291.95</v>
      </c>
      <c r="G7" s="1">
        <v>50694</v>
      </c>
      <c r="H7" s="2" t="s">
        <v>6</v>
      </c>
      <c r="I7" s="4">
        <f>G7/F7</f>
        <v>0.53762807959746295</v>
      </c>
    </row>
    <row r="8" spans="1:11">
      <c r="A8">
        <v>80253</v>
      </c>
      <c r="B8" t="s">
        <v>2</v>
      </c>
      <c r="C8" s="1">
        <v>412742.6</v>
      </c>
      <c r="D8" s="1">
        <v>0</v>
      </c>
      <c r="E8" s="1">
        <v>0</v>
      </c>
      <c r="F8" s="1">
        <v>412742.6</v>
      </c>
      <c r="G8" s="1">
        <v>221904</v>
      </c>
      <c r="H8" s="2" t="s">
        <v>6</v>
      </c>
      <c r="I8" s="4">
        <f>G8/F8</f>
        <v>0.53763289759767952</v>
      </c>
    </row>
    <row r="9" spans="1:11">
      <c r="A9">
        <v>384488</v>
      </c>
      <c r="B9" t="s">
        <v>2</v>
      </c>
      <c r="C9" s="1">
        <v>69281.100000000006</v>
      </c>
      <c r="D9" s="1">
        <v>219646.29</v>
      </c>
      <c r="E9" s="1">
        <v>0</v>
      </c>
      <c r="F9" s="1">
        <v>288927.39</v>
      </c>
      <c r="G9" s="1">
        <v>155337</v>
      </c>
      <c r="H9" s="2" t="s">
        <v>4</v>
      </c>
      <c r="I9" s="4">
        <f>G9/F9</f>
        <v>0.53763334794946227</v>
      </c>
    </row>
    <row r="10" spans="1:11">
      <c r="A10">
        <v>876179</v>
      </c>
      <c r="B10" t="s">
        <v>2</v>
      </c>
      <c r="C10" s="1">
        <v>291170.86</v>
      </c>
      <c r="D10" s="1">
        <v>363542.91</v>
      </c>
      <c r="E10" s="1">
        <v>0</v>
      </c>
      <c r="F10" s="1">
        <v>654713.77</v>
      </c>
      <c r="G10" s="1">
        <v>351996</v>
      </c>
      <c r="H10" s="2" t="s">
        <v>6</v>
      </c>
      <c r="I10" s="4">
        <f>G10/F10</f>
        <v>0.53763341498071748</v>
      </c>
    </row>
    <row r="11" spans="1:11">
      <c r="A11">
        <v>877035</v>
      </c>
      <c r="B11" t="s">
        <v>2</v>
      </c>
      <c r="C11" s="1">
        <v>489619.42</v>
      </c>
      <c r="D11" s="1">
        <v>861173.87</v>
      </c>
      <c r="E11" s="1">
        <v>0</v>
      </c>
      <c r="F11" s="1">
        <v>1350793.28</v>
      </c>
      <c r="G11" s="1">
        <v>726232</v>
      </c>
      <c r="H11" s="2" t="s">
        <v>6</v>
      </c>
      <c r="I11" s="4">
        <f>G11/F11</f>
        <v>0.53763370809780753</v>
      </c>
    </row>
    <row r="12" spans="1:11">
      <c r="A12">
        <v>81569</v>
      </c>
      <c r="B12" t="s">
        <v>2</v>
      </c>
      <c r="C12" s="1">
        <v>106292.55</v>
      </c>
      <c r="D12" s="1">
        <v>397875.94</v>
      </c>
      <c r="E12" s="1">
        <v>0</v>
      </c>
      <c r="F12" s="1">
        <v>504168.49</v>
      </c>
      <c r="G12" s="1">
        <v>271058</v>
      </c>
      <c r="H12" s="3">
        <v>0.01</v>
      </c>
      <c r="I12" s="4">
        <f>G12/F12</f>
        <v>0.53763375811130121</v>
      </c>
    </row>
    <row r="13" spans="1:11">
      <c r="A13">
        <v>183852</v>
      </c>
      <c r="B13" t="s">
        <v>2</v>
      </c>
      <c r="C13" s="1">
        <v>329880.02</v>
      </c>
      <c r="D13" s="1">
        <v>656936.68000000005</v>
      </c>
      <c r="E13" s="1">
        <v>0</v>
      </c>
      <c r="F13" s="1">
        <v>986816.69</v>
      </c>
      <c r="G13" s="1">
        <v>530546</v>
      </c>
      <c r="H13" s="2" t="s">
        <v>3</v>
      </c>
      <c r="I13" s="4">
        <f>G13/F13</f>
        <v>0.53763379295905511</v>
      </c>
    </row>
    <row r="14" spans="1:11">
      <c r="A14">
        <v>183847</v>
      </c>
      <c r="B14" t="s">
        <v>2</v>
      </c>
      <c r="C14" s="1">
        <v>691676.85</v>
      </c>
      <c r="D14" s="1">
        <v>1550210.81</v>
      </c>
      <c r="E14" s="1">
        <v>0</v>
      </c>
      <c r="F14" s="1">
        <v>2241887.66</v>
      </c>
      <c r="G14" s="1">
        <v>1205315</v>
      </c>
      <c r="H14" s="2" t="s">
        <v>7</v>
      </c>
      <c r="I14" s="4">
        <f>G14/F14</f>
        <v>0.53763398653079697</v>
      </c>
    </row>
    <row r="15" spans="1:11">
      <c r="A15">
        <v>82477</v>
      </c>
      <c r="B15" t="s">
        <v>2</v>
      </c>
      <c r="C15" s="1">
        <v>1964914.22</v>
      </c>
      <c r="D15" s="1">
        <v>384927.81</v>
      </c>
      <c r="E15" s="1">
        <v>0</v>
      </c>
      <c r="F15" s="1">
        <v>2349842.0299999998</v>
      </c>
      <c r="G15" s="1">
        <v>1263355</v>
      </c>
      <c r="H15" s="2" t="s">
        <v>3</v>
      </c>
      <c r="I15" s="4">
        <f>G15/F15</f>
        <v>0.53763401278510625</v>
      </c>
    </row>
    <row r="16" spans="1:11">
      <c r="A16">
        <v>876912</v>
      </c>
      <c r="B16" t="s">
        <v>2</v>
      </c>
      <c r="C16" s="1">
        <v>1635943.12</v>
      </c>
      <c r="D16" s="1">
        <v>0</v>
      </c>
      <c r="E16" s="1">
        <v>0</v>
      </c>
      <c r="F16" s="1">
        <v>1635943.12</v>
      </c>
      <c r="G16" s="1">
        <v>879539</v>
      </c>
      <c r="H16" s="2" t="s">
        <v>3</v>
      </c>
      <c r="I16" s="4">
        <f>G16/F16</f>
        <v>0.53763421799163769</v>
      </c>
    </row>
    <row r="17" spans="1:11">
      <c r="A17">
        <v>83347</v>
      </c>
      <c r="B17" t="s">
        <v>2</v>
      </c>
      <c r="C17" s="1">
        <v>23915.81</v>
      </c>
      <c r="D17" s="1">
        <v>90794.15</v>
      </c>
      <c r="E17" s="1">
        <v>0</v>
      </c>
      <c r="F17" s="1">
        <v>114709.96</v>
      </c>
      <c r="G17" s="1">
        <v>61672</v>
      </c>
      <c r="H17" s="2" t="s">
        <v>4</v>
      </c>
      <c r="I17" s="4">
        <f>G17/F17</f>
        <v>0.53763422112604686</v>
      </c>
    </row>
    <row r="18" spans="1:11">
      <c r="A18">
        <v>777340</v>
      </c>
      <c r="B18" t="s">
        <v>2</v>
      </c>
      <c r="C18" s="1">
        <v>898901.27</v>
      </c>
      <c r="D18" s="1">
        <v>831101.9</v>
      </c>
      <c r="E18" s="1">
        <v>0</v>
      </c>
      <c r="F18" s="1">
        <v>1730003.16</v>
      </c>
      <c r="G18" s="1">
        <v>930109</v>
      </c>
      <c r="H18" s="2" t="s">
        <v>7</v>
      </c>
      <c r="I18" s="4">
        <f>G18/F18</f>
        <v>0.53763427807842856</v>
      </c>
    </row>
    <row r="19" spans="1:11">
      <c r="A19">
        <v>777336</v>
      </c>
      <c r="B19" t="s">
        <v>2</v>
      </c>
      <c r="C19" s="1">
        <v>857535.49</v>
      </c>
      <c r="D19" s="1">
        <v>1049515.1599999999</v>
      </c>
      <c r="E19" s="1">
        <v>0</v>
      </c>
      <c r="F19" s="1">
        <v>1907050.65</v>
      </c>
      <c r="G19" s="1">
        <v>1025296</v>
      </c>
      <c r="H19" s="2" t="s">
        <v>4</v>
      </c>
      <c r="I19" s="4">
        <f>G19/F19</f>
        <v>0.53763438322941237</v>
      </c>
    </row>
    <row r="20" spans="1:11">
      <c r="A20">
        <v>83351</v>
      </c>
      <c r="B20" t="s">
        <v>2</v>
      </c>
      <c r="C20" s="1">
        <v>27102.5</v>
      </c>
      <c r="D20" s="1">
        <v>0</v>
      </c>
      <c r="E20" s="1">
        <v>0</v>
      </c>
      <c r="F20" s="1">
        <v>27102.5</v>
      </c>
      <c r="G20" s="1" t="s">
        <v>5</v>
      </c>
      <c r="H20" s="2"/>
    </row>
    <row r="21" spans="1:11">
      <c r="A21">
        <v>775694</v>
      </c>
      <c r="B21" t="s">
        <v>2</v>
      </c>
      <c r="C21" s="1">
        <v>669858.98</v>
      </c>
      <c r="D21" s="1">
        <v>114091.14</v>
      </c>
      <c r="E21" s="1">
        <v>0</v>
      </c>
      <c r="F21" s="1">
        <v>783950.12</v>
      </c>
      <c r="G21" s="1" t="s">
        <v>5</v>
      </c>
      <c r="H21" s="2"/>
    </row>
    <row r="22" spans="1:11">
      <c r="G22" s="1"/>
    </row>
    <row r="23" spans="1:11">
      <c r="F23" s="1">
        <f>SUM(F5:F19)</f>
        <v>14397484.060000001</v>
      </c>
      <c r="G23" s="1">
        <f>SUM(G5:G19)</f>
        <v>7740575</v>
      </c>
      <c r="H23">
        <f>F23/G23</f>
        <v>1.8600018809972128</v>
      </c>
    </row>
    <row r="25" spans="1:11">
      <c r="E25" s="1" t="s">
        <v>17</v>
      </c>
      <c r="F25" s="1" t="s">
        <v>19</v>
      </c>
      <c r="G25" s="1" t="s">
        <v>23</v>
      </c>
      <c r="H25" s="1" t="s">
        <v>24</v>
      </c>
      <c r="I25" s="1" t="s">
        <v>25</v>
      </c>
    </row>
    <row r="26" spans="1:11">
      <c r="D26" s="1" t="s">
        <v>16</v>
      </c>
      <c r="E26" s="4">
        <v>0.8</v>
      </c>
      <c r="F26" s="4">
        <v>0.6</v>
      </c>
      <c r="G26" s="4">
        <v>0.8</v>
      </c>
      <c r="H26" s="4">
        <v>0.6</v>
      </c>
      <c r="I26" s="4">
        <v>0.7</v>
      </c>
      <c r="K26" s="4"/>
    </row>
    <row r="27" spans="1:11">
      <c r="D27" s="1" t="s">
        <v>18</v>
      </c>
      <c r="E27" s="1">
        <v>100</v>
      </c>
      <c r="F27" s="1">
        <f>F28*(1-F26)</f>
        <v>372.00000000000006</v>
      </c>
      <c r="G27" s="1">
        <f>G28*(1-G26)</f>
        <v>185.99999999999997</v>
      </c>
      <c r="H27" s="1">
        <f>H28*(1-H26)</f>
        <v>200.00000000000006</v>
      </c>
      <c r="I27" s="1">
        <f>I28*(1-I26)</f>
        <v>285.00000000000011</v>
      </c>
      <c r="K27" s="4"/>
    </row>
    <row r="28" spans="1:11">
      <c r="D28" s="1" t="s">
        <v>20</v>
      </c>
      <c r="E28" s="1">
        <f>E27/(1-E26)</f>
        <v>500.00000000000011</v>
      </c>
      <c r="F28" s="5">
        <f>$E$28*(1+F29)</f>
        <v>930.00000000000011</v>
      </c>
      <c r="G28" s="5">
        <f>$E$28*(1+G29)</f>
        <v>930.00000000000011</v>
      </c>
      <c r="H28" s="5">
        <f>$E$28*(1+H29)</f>
        <v>500.00000000000011</v>
      </c>
      <c r="I28" s="5">
        <f>$E$28*(1+I29)</f>
        <v>950.00000000000023</v>
      </c>
      <c r="K28" s="4"/>
    </row>
    <row r="29" spans="1:11">
      <c r="D29" s="1" t="s">
        <v>21</v>
      </c>
      <c r="E29" s="1">
        <v>0</v>
      </c>
      <c r="F29" s="4">
        <v>0.86</v>
      </c>
      <c r="G29" s="4">
        <v>0.86</v>
      </c>
      <c r="H29" s="4">
        <v>0</v>
      </c>
      <c r="I29" s="4">
        <v>0.9</v>
      </c>
    </row>
    <row r="30" spans="1:11">
      <c r="D30" s="6" t="s">
        <v>22</v>
      </c>
      <c r="E30" s="6"/>
      <c r="F30" s="7">
        <f>F27/$E$27-1</f>
        <v>2.7200000000000006</v>
      </c>
      <c r="G30" s="7">
        <f>G27/$E$27-1</f>
        <v>0.85999999999999965</v>
      </c>
      <c r="H30" s="7">
        <f>H27/$E$27-1</f>
        <v>1.0000000000000004</v>
      </c>
      <c r="I30" s="7">
        <f>I27/$E$27-1</f>
        <v>1.850000000000001</v>
      </c>
    </row>
  </sheetData>
  <sortState ref="A2:I21">
    <sortCondition ref="I3"/>
  </sortState>
  <dataConsolidate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Di Battista</dc:creator>
  <cp:lastModifiedBy>Alejandro Di Battista</cp:lastModifiedBy>
  <dcterms:created xsi:type="dcterms:W3CDTF">2018-07-18T22:19:36Z</dcterms:created>
  <dcterms:modified xsi:type="dcterms:W3CDTF">2018-07-18T22:26:25Z</dcterms:modified>
</cp:coreProperties>
</file>