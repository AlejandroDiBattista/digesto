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Modelo" sheetId="1" r:id="rId4"/>
    <sheet name="Referencia" sheetId="2" r:id="rId5"/>
    <sheet name="Auxiliar" sheetId="3" r:id="rId6"/>
  </sheets>
</workbook>
</file>

<file path=xl/sharedStrings.xml><?xml version="1.0" encoding="utf-8"?>
<sst xmlns="http://schemas.openxmlformats.org/spreadsheetml/2006/main" uniqueCount="95">
  <si>
    <t>Modelo Económico</t>
  </si>
  <si>
    <t>Cantidad</t>
  </si>
  <si>
    <t>Costo Unitario</t>
  </si>
  <si>
    <t>Costo Mensual</t>
  </si>
  <si>
    <t>Anual</t>
  </si>
  <si>
    <t>BASURA VERDE</t>
  </si>
  <si>
    <t>Alquiler</t>
  </si>
  <si>
    <r>
      <rPr>
        <b val="1"/>
        <sz val="10"/>
        <color indexed="8"/>
        <rFont val="Helvetica Neue"/>
      </rPr>
      <t>Bateas</t>
    </r>
  </si>
  <si>
    <t>General</t>
  </si>
  <si>
    <t>De la Categoria</t>
  </si>
  <si>
    <t>Habitantes</t>
  </si>
  <si>
    <r>
      <rPr>
        <b val="1"/>
        <sz val="10"/>
        <color indexed="8"/>
        <rFont val="Helvetica Neue"/>
      </rPr>
      <t>Camiones</t>
    </r>
  </si>
  <si>
    <t>Sueldo Corredor</t>
  </si>
  <si>
    <r>
      <rPr>
        <b val="1"/>
        <sz val="10"/>
        <color indexed="8"/>
        <rFont val="Helvetica Neue"/>
      </rPr>
      <t>Chipeadora</t>
    </r>
  </si>
  <si>
    <t>Sueldo Camionero</t>
  </si>
  <si>
    <t>Sub Total</t>
  </si>
  <si>
    <t>Jaj</t>
  </si>
  <si>
    <t>Disposición (Kg)</t>
  </si>
  <si>
    <t>Combustible</t>
  </si>
  <si>
    <t>Sueldos</t>
  </si>
  <si>
    <t>Recupero Verde</t>
  </si>
  <si>
    <r>
      <rPr>
        <b val="1"/>
        <sz val="10"/>
        <color indexed="8"/>
        <rFont val="Helvetica Neue"/>
      </rPr>
      <t>Corredores</t>
    </r>
  </si>
  <si>
    <t>Valor Basura</t>
  </si>
  <si>
    <r>
      <rPr>
        <b val="1"/>
        <sz val="10"/>
        <color indexed="8"/>
        <rFont val="Helvetica Neue"/>
      </rPr>
      <t>Chofer</t>
    </r>
  </si>
  <si>
    <t>Costo Combustible</t>
  </si>
  <si>
    <t>Camion</t>
  </si>
  <si>
    <t>Disposición (Ton)</t>
  </si>
  <si>
    <t>Batea</t>
  </si>
  <si>
    <t>Compactador</t>
  </si>
  <si>
    <t>Costo TOTAL Verde</t>
  </si>
  <si>
    <t>Costo x Habitante</t>
  </si>
  <si>
    <t>Recupero</t>
  </si>
  <si>
    <t>BASURA TRADICIONAL</t>
  </si>
  <si>
    <t>Alquileres Camiones</t>
  </si>
  <si>
    <r>
      <rPr>
        <b val="1"/>
        <sz val="10"/>
        <color indexed="8"/>
        <rFont val="Helvetica Neue"/>
      </rPr>
      <t>Propios</t>
    </r>
  </si>
  <si>
    <r>
      <rPr>
        <b val="1"/>
        <sz val="10"/>
        <color indexed="8"/>
        <rFont val="Helvetica Neue"/>
      </rPr>
      <t>Alquilados</t>
    </r>
  </si>
  <si>
    <t>Estimación Costo Privado</t>
  </si>
  <si>
    <t>Costo TOTAL Tradicional</t>
  </si>
  <si>
    <t>Total Sueldos</t>
  </si>
  <si>
    <t>Total Alquiler</t>
  </si>
  <si>
    <t>Total Disposición</t>
  </si>
  <si>
    <t>Total Combustible</t>
  </si>
  <si>
    <t>Total GENERAL</t>
  </si>
  <si>
    <t>Costo x Habitantes</t>
  </si>
  <si>
    <t>Costo x Kilogramo</t>
  </si>
  <si>
    <t>Costo de Referencia</t>
  </si>
  <si>
    <t>Costo Basura</t>
  </si>
  <si>
    <t>Referencias</t>
  </si>
  <si>
    <t>Ciudadano</t>
  </si>
  <si>
    <t>Cuadras</t>
  </si>
  <si>
    <t>Personas x Cuadra</t>
  </si>
  <si>
    <r>
      <rPr>
        <b val="1"/>
        <sz val="10"/>
        <color indexed="8"/>
        <rFont val="Helvetica Neue"/>
      </rPr>
      <t>CABA Privado</t>
    </r>
  </si>
  <si>
    <r>
      <rPr>
        <b val="1"/>
        <sz val="10"/>
        <color indexed="8"/>
        <rFont val="Helvetica Neue"/>
      </rPr>
      <t>CABA x Administración</t>
    </r>
  </si>
  <si>
    <r>
      <rPr>
        <b val="1"/>
        <sz val="10"/>
        <color indexed="8"/>
        <rFont val="Helvetica Neue"/>
      </rPr>
      <t>Madrid</t>
    </r>
  </si>
  <si>
    <r>
      <rPr>
        <b val="1"/>
        <sz val="10"/>
        <color indexed="8"/>
        <rFont val="Helvetica Neue"/>
      </rPr>
      <t>Córdoba</t>
    </r>
  </si>
  <si>
    <r>
      <rPr>
        <b val="1"/>
        <sz val="10"/>
        <color indexed="8"/>
        <rFont val="Helvetica Neue"/>
      </rPr>
      <t>Rosario</t>
    </r>
  </si>
  <si>
    <t>Yerba Buena</t>
  </si>
  <si>
    <r>
      <rPr>
        <b val="1"/>
        <sz val="10"/>
        <color indexed="8"/>
        <rFont val="Helvetica Neue"/>
      </rPr>
      <t>Corredores x Circuito</t>
    </r>
  </si>
  <si>
    <r>
      <rPr>
        <b val="1"/>
        <sz val="10"/>
        <color indexed="8"/>
        <rFont val="Helvetica Neue"/>
      </rPr>
      <t>Sueldo x Corredor</t>
    </r>
  </si>
  <si>
    <r>
      <rPr>
        <b val="1"/>
        <sz val="10"/>
        <color indexed="8"/>
        <rFont val="Helvetica Neue"/>
      </rPr>
      <t>Dias x Mes</t>
    </r>
  </si>
  <si>
    <t>Vehiculos</t>
  </si>
  <si>
    <t>Circuitos</t>
  </si>
  <si>
    <t>Costo Sueldos</t>
  </si>
  <si>
    <t>Costo Alquiler x Vehiculos</t>
  </si>
  <si>
    <t>Costo Alquiler</t>
  </si>
  <si>
    <t>Basura Recogido (tn Mensual)</t>
  </si>
  <si>
    <t>Costo x Kg Disposición</t>
  </si>
  <si>
    <t>Costo Disposición</t>
  </si>
  <si>
    <t>Costo Conteiner</t>
  </si>
  <si>
    <t>Costo Total Mensual</t>
  </si>
  <si>
    <t>Costo Anual</t>
  </si>
  <si>
    <t>Costo x Cuadra</t>
  </si>
  <si>
    <t>$ x Kg</t>
  </si>
  <si>
    <t>Habitantes x Cuadra</t>
  </si>
  <si>
    <t>Dto</t>
  </si>
  <si>
    <t>Capacidad Camion</t>
  </si>
  <si>
    <t>Tabla 1</t>
  </si>
  <si>
    <t>TN Mensual</t>
  </si>
  <si>
    <t>Kg por unidad</t>
  </si>
  <si>
    <t>Participación</t>
  </si>
  <si>
    <t>Carefour</t>
  </si>
  <si>
    <t>Cencosur</t>
  </si>
  <si>
    <t>Country</t>
  </si>
  <si>
    <t>Jumbo</t>
  </si>
  <si>
    <t>San Jose</t>
  </si>
  <si>
    <t>Shopping</t>
  </si>
  <si>
    <t>Solar</t>
  </si>
  <si>
    <t>Vea</t>
  </si>
  <si>
    <t>YB</t>
  </si>
  <si>
    <t>B</t>
  </si>
  <si>
    <t>D</t>
  </si>
  <si>
    <t>Barrido</t>
  </si>
  <si>
    <t>BT-E</t>
  </si>
  <si>
    <t>Barrido Especial</t>
  </si>
  <si>
    <t>Domiciliario</t>
  </si>
</sst>
</file>

<file path=xl/styles.xml><?xml version="1.0" encoding="utf-8"?>
<styleSheet xmlns="http://schemas.openxmlformats.org/spreadsheetml/2006/main">
  <numFmts count="11">
    <numFmt numFmtId="0" formatCode="General"/>
    <numFmt numFmtId="59" formatCode="&quot;$&quot; #,##0"/>
    <numFmt numFmtId="60" formatCode="#,##0%"/>
    <numFmt numFmtId="61" formatCode="&quot;$&quot; 0.00"/>
    <numFmt numFmtId="62" formatCode="0.0%"/>
    <numFmt numFmtId="63" formatCode="&quot;$&quot; 0"/>
    <numFmt numFmtId="64" formatCode="&quot;$&quot; #,##0.00"/>
    <numFmt numFmtId="65" formatCode="#,##0.0%"/>
    <numFmt numFmtId="66" formatCode="#,##0.0000"/>
    <numFmt numFmtId="67" formatCode="#,##0.0"/>
    <numFmt numFmtId="68" formatCode="#,##0.000"/>
  </numFmts>
  <fonts count="11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5"/>
      <color indexed="8"/>
      <name val="Helvetica Neue"/>
    </font>
    <font>
      <sz val="10"/>
      <color indexed="13"/>
      <name val="Helvetica Neue"/>
    </font>
    <font>
      <b val="1"/>
      <sz val="12"/>
      <color indexed="8"/>
      <name val="Helvetica Neue"/>
    </font>
    <font>
      <sz val="11"/>
      <color indexed="8"/>
      <name val="Helvetica"/>
    </font>
    <font>
      <sz val="10"/>
      <color indexed="8"/>
      <name val="Helvetica"/>
    </font>
    <font>
      <sz val="10"/>
      <color indexed="8"/>
      <name val="Arial"/>
    </font>
    <font>
      <sz val="10"/>
      <color indexed="16"/>
      <name val="Helvetica"/>
    </font>
    <font>
      <sz val="12"/>
      <color indexed="15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4"/>
      </bottom>
      <diagonal/>
    </border>
    <border>
      <left style="thin">
        <color indexed="10"/>
      </left>
      <right style="thin">
        <color indexed="14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0"/>
      </top>
      <bottom style="thin">
        <color indexed="14"/>
      </bottom>
      <diagonal/>
    </border>
    <border>
      <left style="thin">
        <color indexed="14"/>
      </left>
      <right style="thin">
        <color indexed="11"/>
      </right>
      <top style="thin">
        <color indexed="14"/>
      </top>
      <bottom style="thin">
        <color indexed="14"/>
      </bottom>
      <diagonal/>
    </border>
    <border>
      <left style="thin">
        <color indexed="11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3" borderId="2" applyNumberFormat="1" applyFont="1" applyFill="0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horizontal="left" vertical="top" wrapText="1"/>
    </xf>
    <xf numFmtId="0" fontId="2" borderId="6" applyNumberFormat="0" applyFont="1" applyFill="0" applyBorder="1" applyAlignment="1" applyProtection="0">
      <alignment horizontal="center" vertical="top" wrapText="1"/>
    </xf>
    <xf numFmtId="0" fontId="2" borderId="7" applyNumberFormat="0" applyFont="1" applyFill="0" applyBorder="1" applyAlignment="1" applyProtection="0">
      <alignment horizontal="center" vertical="top" wrapText="1"/>
    </xf>
    <xf numFmtId="0" fontId="0" borderId="7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3" fontId="0" borderId="7" applyNumberFormat="1" applyFont="1" applyFill="0" applyBorder="1" applyAlignment="1" applyProtection="0">
      <alignment vertical="top" wrapText="1"/>
    </xf>
    <xf numFmtId="60" fontId="2" borderId="7" applyNumberFormat="1" applyFont="1" applyFill="0" applyBorder="1" applyAlignment="1" applyProtection="0">
      <alignment vertical="top" wrapText="1"/>
    </xf>
    <xf numFmtId="49" fontId="2" borderId="7" applyNumberFormat="1" applyFont="1" applyFill="0" applyBorder="1" applyAlignment="1" applyProtection="0">
      <alignment vertical="top" wrapText="1"/>
    </xf>
    <xf numFmtId="0" fontId="2" borderId="6" applyNumberFormat="1" applyFont="1" applyFill="0" applyBorder="1" applyAlignment="1" applyProtection="0">
      <alignment vertical="top" wrapText="1"/>
    </xf>
    <xf numFmtId="59" fontId="2" borderId="7" applyNumberFormat="1" applyFont="1" applyFill="0" applyBorder="1" applyAlignment="1" applyProtection="0">
      <alignment vertical="top" wrapText="1"/>
    </xf>
    <xf numFmtId="61" fontId="0" borderId="7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49" fontId="4" borderId="7" applyNumberFormat="1" applyFont="1" applyFill="0" applyBorder="1" applyAlignment="1" applyProtection="0">
      <alignment vertical="top" wrapText="1"/>
    </xf>
    <xf numFmtId="62" fontId="4" borderId="7" applyNumberFormat="1" applyFont="1" applyFill="0" applyBorder="1" applyAlignment="1" applyProtection="0">
      <alignment vertical="top" wrapText="1"/>
    </xf>
    <xf numFmtId="59" fontId="4" borderId="7" applyNumberFormat="1" applyFont="1" applyFill="0" applyBorder="1" applyAlignment="1" applyProtection="0">
      <alignment vertical="top" wrapText="1"/>
    </xf>
    <xf numFmtId="0" fontId="2" borderId="6" applyNumberFormat="0" applyFont="1" applyFill="0" applyBorder="1" applyAlignment="1" applyProtection="0">
      <alignment vertical="top" wrapText="1"/>
    </xf>
    <xf numFmtId="63" fontId="0" borderId="7" applyNumberFormat="1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3" fontId="0" borderId="6" applyNumberFormat="1" applyFont="1" applyFill="0" applyBorder="1" applyAlignment="1" applyProtection="0">
      <alignment vertical="top" wrapText="1"/>
    </xf>
    <xf numFmtId="3" fontId="2" borderId="7" applyNumberFormat="1" applyFont="1" applyFill="0" applyBorder="1" applyAlignment="1" applyProtection="0">
      <alignment vertical="top" wrapText="1"/>
    </xf>
    <xf numFmtId="49" fontId="3" borderId="5" applyNumberFormat="1" applyFont="1" applyFill="0" applyBorder="1" applyAlignment="1" applyProtection="0">
      <alignment vertical="top"/>
    </xf>
    <xf numFmtId="3" fontId="2" borderId="6" applyNumberFormat="1" applyFont="1" applyFill="0" applyBorder="1" applyAlignment="1" applyProtection="0">
      <alignment vertical="top" wrapText="1"/>
    </xf>
    <xf numFmtId="0" fontId="2" borderId="7" applyNumberFormat="0" applyFont="1" applyFill="0" applyBorder="1" applyAlignment="1" applyProtection="0">
      <alignment vertical="top" wrapText="1"/>
    </xf>
    <xf numFmtId="64" fontId="2" borderId="7" applyNumberFormat="1" applyFont="1" applyFill="0" applyBorder="1" applyAlignment="1" applyProtection="0">
      <alignment vertical="top" wrapText="1"/>
    </xf>
    <xf numFmtId="59" fontId="5" borderId="7" applyNumberFormat="1" applyFont="1" applyFill="0" applyBorder="1" applyAlignment="1" applyProtection="0">
      <alignment vertical="top" wrapText="1"/>
    </xf>
    <xf numFmtId="60" fontId="5" borderId="7" applyNumberFormat="1" applyFont="1" applyFill="0" applyBorder="1" applyAlignment="1" applyProtection="0">
      <alignment vertical="top" wrapText="1"/>
    </xf>
    <xf numFmtId="49" fontId="5" fillId="3" borderId="5" applyNumberFormat="1" applyFont="1" applyFill="1" applyBorder="1" applyAlignment="1" applyProtection="0">
      <alignment vertical="top" wrapText="1"/>
    </xf>
    <xf numFmtId="0" fontId="5" fillId="3" borderId="5" applyNumberFormat="0" applyFont="1" applyFill="1" applyBorder="1" applyAlignment="1" applyProtection="0">
      <alignment vertical="top" wrapText="1"/>
    </xf>
    <xf numFmtId="64" fontId="5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60" fontId="0" borderId="6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59" fontId="0" borderId="6" applyNumberFormat="1" applyFont="1" applyFill="0" applyBorder="1" applyAlignment="1" applyProtection="0">
      <alignment vertical="top" wrapText="1"/>
    </xf>
    <xf numFmtId="4" fontId="0" borderId="7" applyNumberFormat="1" applyFont="1" applyFill="0" applyBorder="1" applyAlignment="1" applyProtection="0">
      <alignment vertical="top" wrapText="1"/>
    </xf>
    <xf numFmtId="64" fontId="0" borderId="6" applyNumberFormat="1" applyFont="1" applyFill="0" applyBorder="1" applyAlignment="1" applyProtection="0">
      <alignment vertical="top" wrapText="1"/>
    </xf>
    <xf numFmtId="65" fontId="0" borderId="7" applyNumberFormat="1" applyFont="1" applyFill="0" applyBorder="1" applyAlignment="1" applyProtection="0">
      <alignment vertical="top" wrapText="1"/>
    </xf>
    <xf numFmtId="66" fontId="0" borderId="7" applyNumberFormat="1" applyFont="1" applyFill="0" applyBorder="1" applyAlignment="1" applyProtection="0">
      <alignment vertical="top" wrapText="1"/>
    </xf>
    <xf numFmtId="67" fontId="0" borderId="6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0" fontId="2" fillId="3" borderId="10" applyNumberFormat="0" applyFont="1" applyFill="1" applyBorder="1" applyAlignment="1" applyProtection="0">
      <alignment vertical="top" wrapText="1"/>
    </xf>
    <xf numFmtId="49" fontId="6" borderId="11" applyNumberFormat="1" applyFont="1" applyFill="0" applyBorder="1" applyAlignment="1" applyProtection="0">
      <alignment horizontal="left" vertical="center" wrapText="1" readingOrder="1"/>
    </xf>
    <xf numFmtId="3" fontId="6" borderId="11" applyNumberFormat="1" applyFont="1" applyFill="0" applyBorder="1" applyAlignment="1" applyProtection="0">
      <alignment vertical="center" wrapText="1" readingOrder="1"/>
    </xf>
    <xf numFmtId="65" fontId="0" borderId="12" applyNumberFormat="1" applyFont="1" applyFill="0" applyBorder="1" applyAlignment="1" applyProtection="0">
      <alignment vertical="top" wrapText="1"/>
    </xf>
    <xf numFmtId="0" fontId="6" borderId="11" applyNumberFormat="0" applyFont="1" applyFill="0" applyBorder="1" applyAlignment="1" applyProtection="0">
      <alignment horizontal="left" vertical="center" wrapText="1" readingOrder="1"/>
    </xf>
    <xf numFmtId="0" fontId="6" borderId="11" applyNumberFormat="1" applyFont="1" applyFill="0" applyBorder="1" applyAlignment="1" applyProtection="0">
      <alignment vertical="center" wrapText="1" readingOrder="1"/>
    </xf>
    <xf numFmtId="0" fontId="0" borderId="12" applyNumberFormat="0" applyFont="1" applyFill="0" applyBorder="1" applyAlignment="1" applyProtection="0">
      <alignment vertical="top" wrapText="1"/>
    </xf>
    <xf numFmtId="0" fontId="6" borderId="11" applyNumberFormat="0" applyFont="1" applyFill="0" applyBorder="1" applyAlignment="1" applyProtection="0">
      <alignment vertical="center" wrapText="1" readingOrder="1"/>
    </xf>
    <xf numFmtId="60" fontId="6" borderId="11" applyNumberFormat="1" applyFont="1" applyFill="0" applyBorder="1" applyAlignment="1" applyProtection="0">
      <alignment vertical="center" wrapText="1" readingOrder="1"/>
    </xf>
    <xf numFmtId="0" fontId="0" borderId="13" applyNumberFormat="0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center" wrapText="1"/>
    </xf>
    <xf numFmtId="0" fontId="6" borderId="14" applyNumberFormat="0" applyFont="1" applyFill="0" applyBorder="1" applyAlignment="1" applyProtection="0">
      <alignment horizontal="left" vertical="center" wrapText="1" readingOrder="1"/>
    </xf>
    <xf numFmtId="49" fontId="6" fillId="4" borderId="15" applyNumberFormat="1" applyFont="1" applyFill="1" applyBorder="1" applyAlignment="1" applyProtection="0">
      <alignment horizontal="center" vertical="center" wrapText="1" readingOrder="1"/>
    </xf>
    <xf numFmtId="0" fontId="0" borderId="11" applyNumberFormat="0" applyFont="1" applyFill="0" applyBorder="1" applyAlignment="1" applyProtection="0">
      <alignment vertical="top" wrapText="1"/>
    </xf>
    <xf numFmtId="49" fontId="6" borderId="15" applyNumberFormat="1" applyFont="1" applyFill="0" applyBorder="1" applyAlignment="1" applyProtection="0">
      <alignment horizontal="center" vertical="center" wrapText="1" readingOrder="1"/>
    </xf>
    <xf numFmtId="0" fontId="0" borderId="11" applyNumberFormat="1" applyFont="1" applyFill="0" applyBorder="1" applyAlignment="1" applyProtection="0">
      <alignment vertical="center" wrapText="1"/>
    </xf>
    <xf numFmtId="3" fontId="7" borderId="11" applyNumberFormat="1" applyFont="1" applyFill="0" applyBorder="1" applyAlignment="1" applyProtection="0">
      <alignment vertical="center" wrapText="1"/>
    </xf>
    <xf numFmtId="3" fontId="8" borderId="11" applyNumberFormat="1" applyFont="1" applyFill="0" applyBorder="1" applyAlignment="1" applyProtection="0">
      <alignment vertical="center" wrapText="1"/>
    </xf>
    <xf numFmtId="0" fontId="8" borderId="11" applyNumberFormat="0" applyFont="1" applyFill="0" applyBorder="1" applyAlignment="1" applyProtection="0">
      <alignment vertical="center" wrapText="1"/>
    </xf>
    <xf numFmtId="3" fontId="9" borderId="11" applyNumberFormat="1" applyFont="1" applyFill="0" applyBorder="1" applyAlignment="1" applyProtection="0">
      <alignment vertical="center" wrapText="1" readingOrder="1"/>
    </xf>
    <xf numFmtId="68" fontId="9" borderId="11" applyNumberFormat="1" applyFont="1" applyFill="0" applyBorder="1" applyAlignment="1" applyProtection="0">
      <alignment vertical="center" wrapText="1" readingOrder="1"/>
    </xf>
    <xf numFmtId="3" fontId="0" borderId="11" applyNumberFormat="1" applyFont="1" applyFill="0" applyBorder="1" applyAlignment="1" applyProtection="0">
      <alignment vertical="center" wrapText="1"/>
    </xf>
    <xf numFmtId="4" fontId="9" borderId="11" applyNumberFormat="1" applyFont="1" applyFill="0" applyBorder="1" applyAlignment="1" applyProtection="0">
      <alignment vertical="center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17000"/>
      <rgbColor rgb="ffcacaca"/>
      <rgbColor rgb="fffefefe"/>
      <rgbColor rgb="ff212121"/>
      <rgbColor rgb="ffb8b8b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roundedCorners val="0"/>
  <c:chart>
    <c:autoTitleDeleted val="1"/>
    <c:plotArea>
      <c:layout>
        <c:manualLayout>
          <c:layoutTarget val="inner"/>
          <c:xMode val="edge"/>
          <c:yMode val="edge"/>
          <c:x val="0.106012"/>
          <c:y val="0.12368"/>
          <c:w val="0.864938"/>
          <c:h val="0.810337"/>
        </c:manualLayout>
      </c:layout>
      <c:scatterChart>
        <c:scatterStyle val="lineMarker"/>
        <c:varyColors val="0"/>
        <c:ser>
          <c:idx val="0"/>
          <c:order val="0"/>
          <c:tx>
            <c:strRef>
              <c:f>'Auxiliar'!$E$2</c:f>
              <c:strCache/>
            </c:strRef>
          </c:tx>
          <c:spPr>
            <a:solidFill>
              <a:srgbClr val="FFFFFF"/>
            </a:solidFill>
            <a:ln w="12700" cap="flat">
              <a:noFill/>
              <a:prstDash val="solid"/>
              <a:miter lim="400000"/>
            </a:ln>
            <a:effectLst/>
          </c:spPr>
          <c:marker>
            <c:symbol val="circle"/>
            <c:size val="8"/>
            <c:spPr>
              <a:solidFill>
                <a:srgbClr val="FFFFFF"/>
              </a:solidFill>
              <a:ln w="25400" cap="flat">
                <a:solidFill>
                  <a:schemeClr val="accent1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trendline>
            <c:spPr>
              <a:noFill/>
              <a:ln w="25400" cap="flat">
                <a:solidFill>
                  <a:schemeClr val="accent1"/>
                </a:solidFill>
                <a:prstDash val="solid"/>
                <a:miter lim="400000"/>
              </a:ln>
              <a:effectLst>
                <a:outerShdw sx="100000" sy="100000" kx="0" ky="0" algn="tl" rotWithShape="1" blurRad="12700" dist="25400" dir="7320000">
                  <a:srgbClr val="000000">
                    <a:alpha val="25000"/>
                  </a:srgbClr>
                </a:outerShdw>
              </a:effectLst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'Auxiliar'!$C$27:$C$29</c:f>
              <c:numCache>
                <c:ptCount val="3"/>
                <c:pt idx="0">
                  <c:v>1991.000000</c:v>
                </c:pt>
                <c:pt idx="1">
                  <c:v>2001.000000</c:v>
                </c:pt>
                <c:pt idx="2">
                  <c:v>2010.000000</c:v>
                </c:pt>
              </c:numCache>
            </c:numRef>
          </c:xVal>
          <c:yVal>
            <c:numRef>
              <c:f>'Auxiliar'!$E$27:$E$29</c:f>
              <c:numCache>
                <c:ptCount val="3"/>
                <c:pt idx="0">
                  <c:v>34901.000000</c:v>
                </c:pt>
                <c:pt idx="1">
                  <c:v>50057.000000</c:v>
                </c:pt>
                <c:pt idx="2">
                  <c:v>61607.000000</c:v>
                </c:pt>
              </c:numCache>
            </c:numRef>
          </c:yVal>
          <c:smooth val="0"/>
        </c:ser>
        <c:axId val="2094734552"/>
        <c:axId val="2094734553"/>
      </c:scatterChart>
      <c:val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crossBetween val="between"/>
        <c:majorUnit val="5"/>
        <c:minorUnit val="2.5"/>
      </c:val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7500"/>
        <c:minorUnit val="8750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67375"/>
          <c:y val="0"/>
          <c:w val="0.9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6</xdr:col>
      <xdr:colOff>381000</xdr:colOff>
      <xdr:row>0</xdr:row>
      <xdr:rowOff>0</xdr:rowOff>
    </xdr:from>
    <xdr:to>
      <xdr:col>10</xdr:col>
      <xdr:colOff>482600</xdr:colOff>
      <xdr:row>14</xdr:row>
      <xdr:rowOff>57150</xdr:rowOff>
    </xdr:to>
    <xdr:graphicFrame>
      <xdr:nvGraphicFramePr>
        <xdr:cNvPr id="2" name="Chart 2"/>
        <xdr:cNvGraphicFramePr/>
      </xdr:nvGraphicFramePr>
      <xdr:xfrm>
        <a:off x="7848600" y="0"/>
        <a:ext cx="5080001" cy="381000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4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5.4141" style="1" customWidth="1"/>
    <col min="2" max="6" width="16.3516" style="1" customWidth="1"/>
    <col min="7" max="7" width="14.3359" style="1" customWidth="1"/>
    <col min="8" max="8" width="5.08594" style="1" customWidth="1"/>
    <col min="9" max="9" width="24" style="1" customWidth="1"/>
    <col min="10" max="10" width="14.25" style="1" customWidth="1"/>
    <col min="11" max="11" width="16.3516" style="1" customWidth="1"/>
    <col min="12" max="256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25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s="3"/>
      <c r="G2" s="3"/>
      <c r="H2" s="3"/>
      <c r="I2" s="3"/>
      <c r="J2" s="3"/>
      <c r="K2" s="3"/>
    </row>
    <row r="3" ht="26.1" customHeight="1">
      <c r="A3" t="s" s="5">
        <v>5</v>
      </c>
      <c r="B3" s="6"/>
      <c r="C3" s="7"/>
      <c r="D3" s="7"/>
      <c r="E3" s="7"/>
      <c r="F3" s="7"/>
      <c r="G3" s="7"/>
      <c r="H3" s="7"/>
      <c r="I3" s="7"/>
      <c r="J3" s="7"/>
      <c r="K3" s="7"/>
    </row>
    <row r="4" ht="20.05" customHeight="1">
      <c r="A4" t="s" s="8">
        <v>6</v>
      </c>
      <c r="B4" s="9"/>
      <c r="C4" s="10"/>
      <c r="D4" s="10"/>
      <c r="E4" s="10"/>
      <c r="F4" s="11"/>
      <c r="G4" s="11"/>
      <c r="H4" s="11"/>
      <c r="I4" s="11"/>
      <c r="J4" s="11"/>
      <c r="K4" s="11"/>
    </row>
    <row r="5" ht="20.05" customHeight="1">
      <c r="A5" t="s" s="12">
        <v>7</v>
      </c>
      <c r="B5" s="13">
        <v>2</v>
      </c>
      <c r="C5" s="14">
        <v>50000</v>
      </c>
      <c r="D5" s="14">
        <f>C5*B5</f>
        <v>100000</v>
      </c>
      <c r="E5" s="14">
        <f>D5*12</f>
        <v>1200000</v>
      </c>
      <c r="F5" t="s" s="15">
        <v>8</v>
      </c>
      <c r="G5" t="s" s="15">
        <v>9</v>
      </c>
      <c r="H5" s="11"/>
      <c r="I5" t="s" s="15">
        <v>10</v>
      </c>
      <c r="J5" s="16">
        <v>90000</v>
      </c>
      <c r="K5" s="11"/>
    </row>
    <row r="6" ht="20.05" customHeight="1">
      <c r="A6" t="s" s="12">
        <v>11</v>
      </c>
      <c r="B6" s="13">
        <v>10</v>
      </c>
      <c r="C6" s="14">
        <v>35000</v>
      </c>
      <c r="D6" s="14">
        <f>C6*B6</f>
        <v>350000</v>
      </c>
      <c r="E6" s="14">
        <f>D6*12</f>
        <v>4200000</v>
      </c>
      <c r="F6" s="17">
        <f>D6/D$43</f>
        <v>0.07450613079019074</v>
      </c>
      <c r="G6" s="17"/>
      <c r="H6" s="17"/>
      <c r="I6" t="s" s="18">
        <v>12</v>
      </c>
      <c r="J6" s="14">
        <v>20000</v>
      </c>
      <c r="K6" s="17"/>
    </row>
    <row r="7" ht="20.05" customHeight="1">
      <c r="A7" t="s" s="12">
        <v>13</v>
      </c>
      <c r="B7" s="13">
        <v>1</v>
      </c>
      <c r="C7" s="14">
        <v>100000</v>
      </c>
      <c r="D7" s="14">
        <f>C7*B7</f>
        <v>100000</v>
      </c>
      <c r="E7" s="14">
        <f>D7*12</f>
        <v>1200000</v>
      </c>
      <c r="F7" s="17">
        <f>D7/D$43</f>
        <v>0.02128746594005449</v>
      </c>
      <c r="G7" s="17"/>
      <c r="H7" s="17"/>
      <c r="I7" t="s" s="18">
        <v>14</v>
      </c>
      <c r="J7" s="14">
        <v>30000</v>
      </c>
      <c r="K7" s="17"/>
    </row>
    <row r="8" ht="20.05" customHeight="1">
      <c r="A8" t="s" s="12">
        <v>15</v>
      </c>
      <c r="B8" s="19">
        <f>B5+B6+B7</f>
        <v>13</v>
      </c>
      <c r="C8" t="s" s="18">
        <v>16</v>
      </c>
      <c r="D8" s="20">
        <f>D6+D7</f>
        <v>450000</v>
      </c>
      <c r="E8" s="20">
        <f>D8*12</f>
        <v>5400000</v>
      </c>
      <c r="F8" s="17">
        <f>D8/D$43</f>
        <v>0.09579359673024523</v>
      </c>
      <c r="G8" s="17">
        <f>F8/F$18</f>
        <v>0.1630434782608696</v>
      </c>
      <c r="H8" s="17"/>
      <c r="I8" t="s" s="18">
        <v>17</v>
      </c>
      <c r="J8" s="21">
        <v>1</v>
      </c>
      <c r="K8" s="17"/>
    </row>
    <row r="9" ht="20.05" customHeight="1">
      <c r="A9" t="s" s="12">
        <v>18</v>
      </c>
      <c r="B9" s="22"/>
      <c r="C9" s="14"/>
      <c r="D9" s="20">
        <f>(B5*J16+B6*J15)*J14</f>
        <v>167200</v>
      </c>
      <c r="E9" s="20">
        <f>D9*12</f>
        <v>2006400</v>
      </c>
      <c r="F9" s="17">
        <f>D9/D$43</f>
        <v>0.03559264305177112</v>
      </c>
      <c r="G9" s="17">
        <f>F9/F$18</f>
        <v>0.06057971014492753</v>
      </c>
      <c r="H9" s="14"/>
      <c r="I9" s="14"/>
      <c r="J9" s="14"/>
      <c r="K9" s="14"/>
    </row>
    <row r="10" ht="20.05" customHeight="1">
      <c r="A10" s="23"/>
      <c r="B10" s="22"/>
      <c r="C10" s="14"/>
      <c r="D10" s="14"/>
      <c r="E10" s="14"/>
      <c r="F10" s="14"/>
      <c r="G10" s="14"/>
      <c r="H10" s="14"/>
      <c r="I10" s="14"/>
      <c r="J10" s="14"/>
      <c r="K10" s="14"/>
    </row>
    <row r="11" ht="20.05" customHeight="1">
      <c r="A11" t="s" s="12">
        <v>19</v>
      </c>
      <c r="B11" s="22"/>
      <c r="C11" s="14"/>
      <c r="D11" s="14"/>
      <c r="E11" s="14"/>
      <c r="F11" s="14"/>
      <c r="G11" s="14"/>
      <c r="H11" s="14"/>
      <c r="I11" t="s" s="24">
        <v>20</v>
      </c>
      <c r="J11" s="25">
        <v>0.3</v>
      </c>
      <c r="K11" s="14"/>
    </row>
    <row r="12" ht="20.05" customHeight="1">
      <c r="A12" t="s" s="12">
        <v>21</v>
      </c>
      <c r="B12" s="13">
        <v>2</v>
      </c>
      <c r="C12" s="14">
        <f>J6</f>
        <v>20000</v>
      </c>
      <c r="D12" s="14">
        <f>B12*J6*B8</f>
        <v>520000</v>
      </c>
      <c r="E12" s="14">
        <f>D12*12</f>
        <v>6240000</v>
      </c>
      <c r="F12" s="17">
        <f>D12/D$43</f>
        <v>0.1106948228882834</v>
      </c>
      <c r="G12" s="17"/>
      <c r="H12" s="17"/>
      <c r="I12" t="s" s="24">
        <v>22</v>
      </c>
      <c r="J12" s="26">
        <v>200</v>
      </c>
      <c r="K12" s="17"/>
    </row>
    <row r="13" ht="20.05" customHeight="1">
      <c r="A13" t="s" s="12">
        <v>23</v>
      </c>
      <c r="B13" s="13">
        <v>1</v>
      </c>
      <c r="C13" s="14">
        <f>J7</f>
        <v>30000</v>
      </c>
      <c r="D13" s="14">
        <f>J7*B8*B13</f>
        <v>390000</v>
      </c>
      <c r="E13" s="14">
        <f>D13*12</f>
        <v>4680000</v>
      </c>
      <c r="F13" s="17">
        <f>D13/D$43</f>
        <v>0.08302111716621254</v>
      </c>
      <c r="G13" s="17"/>
      <c r="H13" s="17"/>
      <c r="I13" s="17"/>
      <c r="J13" s="17"/>
      <c r="K13" s="17"/>
    </row>
    <row r="14" ht="20.05" customHeight="1">
      <c r="A14" t="s" s="12">
        <v>15</v>
      </c>
      <c r="B14" s="27"/>
      <c r="C14" s="20"/>
      <c r="D14" s="20">
        <f>D12+D13</f>
        <v>910000</v>
      </c>
      <c r="E14" s="20">
        <f>E12+E13</f>
        <v>10920000</v>
      </c>
      <c r="F14" s="17">
        <f>D14/D$43</f>
        <v>0.1937159400544959</v>
      </c>
      <c r="G14" s="17">
        <f>F14/F$18</f>
        <v>0.3297101449275362</v>
      </c>
      <c r="H14" s="17"/>
      <c r="I14" t="s" s="18">
        <v>24</v>
      </c>
      <c r="J14" s="28">
        <v>22</v>
      </c>
      <c r="K14" s="17"/>
    </row>
    <row r="15" ht="20.05" customHeight="1">
      <c r="A15" s="23"/>
      <c r="B15" s="22"/>
      <c r="C15" s="11"/>
      <c r="D15" s="11"/>
      <c r="E15" s="29"/>
      <c r="F15" s="11"/>
      <c r="G15" s="11"/>
      <c r="H15" s="11"/>
      <c r="I15" t="s" s="15">
        <v>25</v>
      </c>
      <c r="J15" s="30">
        <v>500</v>
      </c>
      <c r="K15" s="11"/>
    </row>
    <row r="16" ht="20.05" customHeight="1">
      <c r="A16" t="s" s="12">
        <v>26</v>
      </c>
      <c r="B16" s="31">
        <v>1400</v>
      </c>
      <c r="C16" s="21">
        <f>J8</f>
        <v>1</v>
      </c>
      <c r="D16" s="20">
        <f>B16*1000*J8</f>
        <v>1400000</v>
      </c>
      <c r="E16" s="20">
        <f>D16*12</f>
        <v>16800000</v>
      </c>
      <c r="F16" s="17">
        <f>D16/D$43</f>
        <v>0.2980245231607629</v>
      </c>
      <c r="G16" s="17">
        <f>F16/F$18</f>
        <v>0.5072463768115942</v>
      </c>
      <c r="H16" s="17"/>
      <c r="I16" t="s" s="18">
        <v>27</v>
      </c>
      <c r="J16" s="32">
        <v>1300</v>
      </c>
      <c r="K16" s="17"/>
    </row>
    <row r="17" ht="20.05" customHeight="1">
      <c r="A17" s="23"/>
      <c r="B17" s="22"/>
      <c r="C17" s="11"/>
      <c r="D17" s="11"/>
      <c r="E17" s="11"/>
      <c r="F17" s="11"/>
      <c r="G17" s="11"/>
      <c r="H17" s="11"/>
      <c r="I17" t="s" s="15">
        <v>28</v>
      </c>
      <c r="J17" s="30">
        <v>600</v>
      </c>
      <c r="K17" s="11"/>
    </row>
    <row r="18" ht="20.05" customHeight="1">
      <c r="A18" t="s" s="12">
        <v>29</v>
      </c>
      <c r="B18" s="22"/>
      <c r="C18" s="11"/>
      <c r="D18" s="20">
        <f>D16+D14+D8</f>
        <v>2760000</v>
      </c>
      <c r="E18" s="20">
        <f>E16+E14+E8+E9</f>
        <v>35126400</v>
      </c>
      <c r="F18" s="17">
        <f>D18/D$43</f>
        <v>0.5875340599455041</v>
      </c>
      <c r="G18" s="17"/>
      <c r="H18" s="17"/>
      <c r="I18" s="11"/>
      <c r="J18" s="11"/>
      <c r="K18" s="20"/>
    </row>
    <row r="19" ht="20.05" customHeight="1">
      <c r="A19" t="s" s="12">
        <v>30</v>
      </c>
      <c r="B19" s="22"/>
      <c r="C19" s="11"/>
      <c r="D19" s="11"/>
      <c r="E19" s="14">
        <f>E18/J5</f>
        <v>390.2933333333334</v>
      </c>
      <c r="F19" s="11"/>
      <c r="G19" s="11"/>
      <c r="H19" s="11"/>
      <c r="I19" s="11"/>
      <c r="J19" s="11"/>
      <c r="K19" s="20"/>
    </row>
    <row r="20" ht="20.05" customHeight="1">
      <c r="A20" s="23"/>
      <c r="B20" s="22"/>
      <c r="C20" s="11"/>
      <c r="D20" t="s" s="24">
        <v>31</v>
      </c>
      <c r="E20" s="26">
        <f>E16-E16*(1-J11)+J11*B16*J12</f>
        <v>5124000</v>
      </c>
      <c r="F20" s="11"/>
      <c r="G20" s="11"/>
      <c r="H20" s="11"/>
      <c r="I20" s="11"/>
      <c r="J20" s="11"/>
      <c r="K20" s="20"/>
    </row>
    <row r="21" ht="20.05" customHeight="1">
      <c r="A21" s="23"/>
      <c r="B21" s="22"/>
      <c r="C21" s="11"/>
      <c r="D21" s="11"/>
      <c r="E21" s="11"/>
      <c r="F21" s="11"/>
      <c r="G21" s="11"/>
      <c r="H21" s="11"/>
      <c r="I21" s="11"/>
      <c r="J21" s="11"/>
      <c r="K21" s="20"/>
    </row>
    <row r="22" ht="25.9" customHeight="1">
      <c r="A22" t="s" s="33">
        <v>32</v>
      </c>
      <c r="B22" s="22"/>
      <c r="C22" s="11"/>
      <c r="D22" s="11"/>
      <c r="E22" s="11"/>
      <c r="F22" s="11"/>
      <c r="G22" s="11"/>
      <c r="H22" s="11"/>
      <c r="I22" s="11"/>
      <c r="J22" s="11"/>
      <c r="K22" s="11"/>
    </row>
    <row r="23" ht="20.05" customHeight="1">
      <c r="A23" t="s" s="12">
        <v>33</v>
      </c>
      <c r="B23" s="22"/>
      <c r="C23" s="11"/>
      <c r="D23" s="11"/>
      <c r="E23" s="11"/>
      <c r="F23" s="11"/>
      <c r="G23" s="11"/>
      <c r="H23" s="11"/>
      <c r="I23" s="11"/>
      <c r="J23" s="11"/>
      <c r="K23" s="11"/>
    </row>
    <row r="24" ht="20.05" customHeight="1">
      <c r="A24" t="s" s="12">
        <v>34</v>
      </c>
      <c r="B24" s="13">
        <v>2</v>
      </c>
      <c r="C24" s="11"/>
      <c r="D24" s="11"/>
      <c r="E24" s="11"/>
      <c r="F24" s="11"/>
      <c r="G24" s="11"/>
      <c r="H24" s="11"/>
      <c r="I24" s="11"/>
      <c r="J24" s="11"/>
      <c r="K24" s="11"/>
    </row>
    <row r="25" ht="20.05" customHeight="1">
      <c r="A25" t="s" s="12">
        <v>35</v>
      </c>
      <c r="B25" s="13">
        <v>6</v>
      </c>
      <c r="C25" s="14">
        <v>6000</v>
      </c>
      <c r="D25" s="14">
        <f>C25*B25*24</f>
        <v>864000</v>
      </c>
      <c r="E25" s="14">
        <f>D25*12</f>
        <v>10368000</v>
      </c>
      <c r="F25" s="17">
        <f>D25/D$43</f>
        <v>0.1839237057220708</v>
      </c>
      <c r="G25" s="17"/>
      <c r="H25" s="17"/>
      <c r="I25" s="17"/>
      <c r="J25" s="17"/>
      <c r="K25" s="17"/>
    </row>
    <row r="26" ht="20.05" customHeight="1">
      <c r="A26" t="s" s="12">
        <v>15</v>
      </c>
      <c r="B26" s="34">
        <f>SUM(B24:B25)</f>
        <v>8</v>
      </c>
      <c r="C26" s="20"/>
      <c r="D26" s="20">
        <f>SUM(D24:D25)</f>
        <v>864000</v>
      </c>
      <c r="E26" s="20">
        <f>SUM(E24:E25)</f>
        <v>10368000</v>
      </c>
      <c r="F26" s="17">
        <f>D26/D$43</f>
        <v>0.1839237057220708</v>
      </c>
      <c r="G26" s="17">
        <f>F26/F$36</f>
        <v>0.4954128440366972</v>
      </c>
      <c r="H26" s="17"/>
      <c r="I26" s="17"/>
      <c r="J26" s="17"/>
      <c r="K26" s="17"/>
    </row>
    <row r="27" ht="20.05" customHeight="1">
      <c r="A27" t="s" s="12">
        <v>18</v>
      </c>
      <c r="B27" s="27"/>
      <c r="C27" s="20"/>
      <c r="D27" s="20">
        <f>B24*J17*J14</f>
        <v>26400</v>
      </c>
      <c r="E27" s="20">
        <f>D27*12</f>
        <v>316800</v>
      </c>
      <c r="F27" s="35"/>
      <c r="G27" s="35"/>
      <c r="H27" s="35"/>
      <c r="I27" s="35"/>
      <c r="J27" s="35"/>
      <c r="K27" s="35"/>
    </row>
    <row r="28" ht="20.05" customHeight="1">
      <c r="A28" s="23"/>
      <c r="B28" s="27"/>
      <c r="C28" s="20"/>
      <c r="D28" s="35"/>
      <c r="E28" s="35"/>
      <c r="F28" s="35"/>
      <c r="G28" s="35"/>
      <c r="H28" s="35"/>
      <c r="I28" s="35"/>
      <c r="J28" s="35"/>
      <c r="K28" s="35"/>
    </row>
    <row r="29" ht="20.05" customHeight="1">
      <c r="A29" t="s" s="12">
        <v>19</v>
      </c>
      <c r="B29" s="22"/>
      <c r="C29" s="14"/>
      <c r="D29" s="14"/>
      <c r="E29" s="14"/>
      <c r="F29" s="14"/>
      <c r="G29" s="14"/>
      <c r="H29" s="14"/>
      <c r="I29" s="14"/>
      <c r="J29" s="14"/>
      <c r="K29" s="14"/>
    </row>
    <row r="30" ht="20.05" customHeight="1">
      <c r="A30" t="s" s="12">
        <v>21</v>
      </c>
      <c r="B30" s="13">
        <v>4</v>
      </c>
      <c r="C30" s="14">
        <f>J6</f>
        <v>20000</v>
      </c>
      <c r="D30" s="14">
        <f>B30*C30*B26</f>
        <v>640000</v>
      </c>
      <c r="E30" s="14">
        <f>D30*12</f>
        <v>7680000</v>
      </c>
      <c r="F30" s="17">
        <f>D30/D$43</f>
        <v>0.1362397820163488</v>
      </c>
      <c r="G30" s="17"/>
      <c r="H30" s="17"/>
      <c r="I30" s="17"/>
      <c r="J30" s="17"/>
      <c r="K30" s="17"/>
    </row>
    <row r="31" ht="20.05" customHeight="1">
      <c r="A31" t="s" s="12">
        <v>23</v>
      </c>
      <c r="B31" s="13">
        <v>1</v>
      </c>
      <c r="C31" s="14">
        <f>J7</f>
        <v>30000</v>
      </c>
      <c r="D31" s="14">
        <f>C31*B26*B31</f>
        <v>240000</v>
      </c>
      <c r="E31" s="14">
        <f>D31*12</f>
        <v>2880000</v>
      </c>
      <c r="F31" s="17">
        <f>D31/D$43</f>
        <v>0.05108991825613079</v>
      </c>
      <c r="G31" s="17"/>
      <c r="H31" s="17"/>
      <c r="I31" s="17"/>
      <c r="J31" s="17"/>
      <c r="K31" s="17"/>
    </row>
    <row r="32" ht="20.05" customHeight="1">
      <c r="A32" t="s" s="12">
        <v>15</v>
      </c>
      <c r="B32" s="27"/>
      <c r="C32" s="20"/>
      <c r="D32" s="20">
        <f>D30+D31</f>
        <v>880000</v>
      </c>
      <c r="E32" s="20">
        <f>E30+E31</f>
        <v>10560000</v>
      </c>
      <c r="F32" s="17">
        <f>D32/D$43</f>
        <v>0.1873297002724796</v>
      </c>
      <c r="G32" s="17">
        <f>F32/F$36</f>
        <v>0.5045871559633027</v>
      </c>
      <c r="H32" s="17"/>
      <c r="I32" s="17"/>
      <c r="J32" s="17"/>
      <c r="K32" s="17"/>
    </row>
    <row r="33" ht="20.05" customHeight="1">
      <c r="A33" s="23"/>
      <c r="B33" s="34"/>
      <c r="C33" s="36"/>
      <c r="D33" s="20"/>
      <c r="E33" s="20"/>
      <c r="F33" s="35"/>
      <c r="G33" s="35"/>
      <c r="H33" s="35"/>
      <c r="I33" s="35"/>
      <c r="J33" s="35"/>
      <c r="K33" s="35"/>
    </row>
    <row r="34" ht="20.05" customHeight="1">
      <c r="A34" t="s" s="12">
        <v>26</v>
      </c>
      <c r="B34" s="34">
        <v>1600</v>
      </c>
      <c r="C34" s="36">
        <v>0</v>
      </c>
      <c r="D34" s="20">
        <f>C34*B34*1000</f>
        <v>0</v>
      </c>
      <c r="E34" s="20">
        <f>D34*12</f>
        <v>0</v>
      </c>
      <c r="F34" s="17">
        <f>D34/D$43</f>
        <v>0</v>
      </c>
      <c r="G34" s="17">
        <f>F34/F$36</f>
        <v>0</v>
      </c>
      <c r="H34" s="17"/>
      <c r="I34" t="s" s="18">
        <v>36</v>
      </c>
      <c r="J34" s="20">
        <v>10000000</v>
      </c>
      <c r="K34" s="17"/>
    </row>
    <row r="35" ht="20.05" customHeight="1">
      <c r="A35" s="23"/>
      <c r="B35" s="27"/>
      <c r="C35" s="20"/>
      <c r="D35" s="20"/>
      <c r="E35" s="20"/>
      <c r="F35" s="35"/>
      <c r="G35" s="35"/>
      <c r="H35" s="35"/>
      <c r="I35" s="35"/>
      <c r="J35" s="35"/>
      <c r="K35" s="35"/>
    </row>
    <row r="36" ht="20.05" customHeight="1">
      <c r="A36" t="s" s="12">
        <v>37</v>
      </c>
      <c r="B36" s="27"/>
      <c r="C36" s="20"/>
      <c r="D36" s="20">
        <f>D34+D26+D32</f>
        <v>1744000</v>
      </c>
      <c r="E36" s="20">
        <f>E34+E26+E32</f>
        <v>20928000</v>
      </c>
      <c r="F36" s="17">
        <f>D36/D$43</f>
        <v>0.3712534059945504</v>
      </c>
      <c r="G36" s="35"/>
      <c r="H36" s="35"/>
      <c r="I36" s="35"/>
      <c r="J36" s="35"/>
      <c r="K36" s="35"/>
    </row>
    <row r="37" ht="20.05" customHeight="1">
      <c r="A37" t="s" s="12">
        <v>30</v>
      </c>
      <c r="B37" s="27"/>
      <c r="C37" s="20"/>
      <c r="D37" s="20"/>
      <c r="E37" s="20">
        <f>E36/J5</f>
        <v>232.5333333333333</v>
      </c>
      <c r="F37" s="35"/>
      <c r="G37" s="35"/>
      <c r="H37" s="35"/>
      <c r="I37" s="35"/>
      <c r="J37" s="35"/>
      <c r="K37" s="35"/>
    </row>
    <row r="38" ht="20.05" customHeight="1">
      <c r="A38" s="23"/>
      <c r="B38" s="27"/>
      <c r="C38" s="20"/>
      <c r="D38" s="20"/>
      <c r="E38" s="20"/>
      <c r="F38" s="17"/>
      <c r="G38" s="17"/>
      <c r="H38" s="17"/>
      <c r="I38" s="17"/>
      <c r="J38" s="17"/>
      <c r="K38" s="17"/>
    </row>
    <row r="39" ht="20.05" customHeight="1">
      <c r="A39" t="s" s="12">
        <v>38</v>
      </c>
      <c r="B39" s="27"/>
      <c r="C39" s="20"/>
      <c r="D39" s="20">
        <f>D32+D14</f>
        <v>1790000</v>
      </c>
      <c r="E39" s="20">
        <f>E32+E14</f>
        <v>21480000</v>
      </c>
      <c r="F39" s="17">
        <f>D39/D$43</f>
        <v>0.3810456403269755</v>
      </c>
      <c r="G39" s="17"/>
      <c r="H39" s="17"/>
      <c r="I39" s="17"/>
      <c r="J39" s="17"/>
      <c r="K39" s="17"/>
    </row>
    <row r="40" ht="20.05" customHeight="1">
      <c r="A40" t="s" s="12">
        <v>39</v>
      </c>
      <c r="B40" s="27"/>
      <c r="C40" s="20"/>
      <c r="D40" s="20">
        <f>D26+D8</f>
        <v>1314000</v>
      </c>
      <c r="E40" s="20">
        <f>E26+E8</f>
        <v>15768000</v>
      </c>
      <c r="F40" s="17">
        <f>D40/D$43</f>
        <v>0.2797173024523161</v>
      </c>
      <c r="G40" s="17"/>
      <c r="H40" s="17"/>
      <c r="I40" s="17"/>
      <c r="J40" s="17"/>
      <c r="K40" s="17"/>
    </row>
    <row r="41" ht="20.05" customHeight="1">
      <c r="A41" t="s" s="12">
        <v>40</v>
      </c>
      <c r="B41" s="27"/>
      <c r="C41" s="20"/>
      <c r="D41" s="20">
        <f>D34+D16</f>
        <v>1400000</v>
      </c>
      <c r="E41" s="20">
        <f>E34+E16</f>
        <v>16800000</v>
      </c>
      <c r="F41" s="17">
        <f>D41/D$43</f>
        <v>0.2980245231607629</v>
      </c>
      <c r="G41" s="17"/>
      <c r="H41" s="17"/>
      <c r="I41" s="17"/>
      <c r="J41" s="17"/>
      <c r="K41" s="17"/>
    </row>
    <row r="42" ht="23" customHeight="1">
      <c r="A42" t="s" s="12">
        <v>41</v>
      </c>
      <c r="B42" s="27"/>
      <c r="C42" s="20"/>
      <c r="D42" s="37">
        <f>D27+D9</f>
        <v>193600</v>
      </c>
      <c r="E42" s="37">
        <f>E27+E9</f>
        <v>2323200</v>
      </c>
      <c r="F42" s="38">
        <f>D42/D$43</f>
        <v>0.0412125340599455</v>
      </c>
      <c r="G42" s="38"/>
      <c r="H42" s="38"/>
      <c r="I42" s="38"/>
      <c r="J42" s="38"/>
      <c r="K42" s="38"/>
    </row>
    <row r="43" ht="23" customHeight="1">
      <c r="A43" t="s" s="39">
        <v>42</v>
      </c>
      <c r="B43" s="27"/>
      <c r="C43" s="20"/>
      <c r="D43" s="37">
        <f>SUM(D39:D42)</f>
        <v>4697600</v>
      </c>
      <c r="E43" s="37">
        <f>SUM(E39:E42)</f>
        <v>56371200</v>
      </c>
      <c r="F43" s="38">
        <f>D43/D$43</f>
        <v>1</v>
      </c>
      <c r="G43" s="38"/>
      <c r="H43" s="38"/>
      <c r="I43" s="38"/>
      <c r="J43" s="38"/>
      <c r="K43" s="38"/>
    </row>
    <row r="44" ht="23" customHeight="1">
      <c r="A44" s="40"/>
      <c r="B44" s="27"/>
      <c r="C44" s="20"/>
      <c r="D44" s="37"/>
      <c r="E44" s="37"/>
      <c r="F44" s="38"/>
      <c r="G44" s="38"/>
      <c r="H44" s="38"/>
      <c r="I44" s="38"/>
      <c r="J44" s="38"/>
      <c r="K44" s="38"/>
    </row>
    <row r="45" ht="23" customHeight="1">
      <c r="A45" t="s" s="39">
        <v>43</v>
      </c>
      <c r="B45" s="27"/>
      <c r="C45" s="20"/>
      <c r="D45" s="37">
        <f>D43/J5</f>
        <v>52.19555555555556</v>
      </c>
      <c r="E45" s="37">
        <f>D45*12</f>
        <v>626.3466666666667</v>
      </c>
      <c r="F45" s="38"/>
      <c r="G45" s="38"/>
      <c r="H45" s="38"/>
      <c r="I45" s="38"/>
      <c r="J45" s="38"/>
      <c r="K45" s="38"/>
    </row>
    <row r="46" ht="23" customHeight="1">
      <c r="A46" t="s" s="39">
        <v>44</v>
      </c>
      <c r="B46" s="27"/>
      <c r="C46" s="20"/>
      <c r="D46" s="11"/>
      <c r="E46" s="41">
        <f>E43/(E34+E16)</f>
        <v>3.355428571428571</v>
      </c>
      <c r="F46" s="38"/>
      <c r="G46" s="38"/>
      <c r="H46" s="38"/>
      <c r="I46" s="38"/>
      <c r="J46" s="38"/>
      <c r="K46" s="38"/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5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7.1172" style="42" customWidth="1"/>
    <col min="2" max="3" width="16.3516" style="42" customWidth="1"/>
    <col min="4" max="4" width="20.0156" style="42" customWidth="1"/>
    <col min="5" max="8" width="16.3516" style="42" customWidth="1"/>
    <col min="9" max="256" width="16.3516" style="42" customWidth="1"/>
  </cols>
  <sheetData>
    <row r="1" ht="27.65" customHeight="1">
      <c r="A1" t="s" s="2">
        <v>45</v>
      </c>
      <c r="B1" s="2"/>
      <c r="C1" s="2"/>
      <c r="D1" s="2"/>
      <c r="E1" s="2"/>
      <c r="F1" s="2"/>
      <c r="G1" s="2"/>
      <c r="H1" s="2"/>
    </row>
    <row r="2" ht="20.25" customHeight="1">
      <c r="A2" t="s" s="43">
        <v>46</v>
      </c>
      <c r="B2" s="3"/>
      <c r="C2" s="3"/>
      <c r="D2" s="3"/>
      <c r="E2" s="3"/>
      <c r="F2" s="3"/>
      <c r="G2" s="3"/>
      <c r="H2" s="3"/>
    </row>
    <row r="3" ht="20.25" customHeight="1">
      <c r="A3" s="44"/>
      <c r="B3" s="45"/>
      <c r="C3" s="46"/>
      <c r="D3" s="46"/>
      <c r="E3" s="46"/>
      <c r="F3" s="46"/>
      <c r="G3" s="46"/>
      <c r="H3" s="46"/>
    </row>
    <row r="4" ht="20.05" customHeight="1">
      <c r="A4" s="23"/>
      <c r="B4" s="22"/>
      <c r="C4" s="11"/>
      <c r="D4" s="11"/>
      <c r="E4" s="11"/>
      <c r="F4" s="11"/>
      <c r="G4" s="11"/>
      <c r="H4" s="11"/>
    </row>
    <row r="5" ht="20.05" customHeight="1">
      <c r="A5" s="23"/>
      <c r="B5" s="47">
        <f>B7/B8-1</f>
        <v>1.254901960784314</v>
      </c>
      <c r="C5" s="11"/>
      <c r="D5" s="11"/>
      <c r="E5" s="11"/>
      <c r="F5" s="11"/>
      <c r="G5" s="11"/>
      <c r="H5" s="11"/>
    </row>
    <row r="6" ht="20.05" customHeight="1">
      <c r="A6" t="s" s="12">
        <v>47</v>
      </c>
      <c r="B6" t="s" s="48">
        <v>48</v>
      </c>
      <c r="C6" t="s" s="15">
        <v>49</v>
      </c>
      <c r="D6" t="s" s="49">
        <v>50</v>
      </c>
      <c r="E6" s="11"/>
      <c r="F6" s="11"/>
      <c r="G6" s="11"/>
      <c r="H6" s="11"/>
    </row>
    <row r="7" ht="20.05" customHeight="1">
      <c r="A7" t="s" s="8">
        <v>51</v>
      </c>
      <c r="B7" s="31">
        <v>1200</v>
      </c>
      <c r="C7" s="16">
        <v>460000</v>
      </c>
      <c r="D7" s="16">
        <f>C7/B7</f>
        <v>383.3333333333333</v>
      </c>
      <c r="E7" s="11"/>
      <c r="F7" s="11"/>
      <c r="G7" s="11"/>
      <c r="H7" s="11"/>
    </row>
    <row r="8" ht="20.05" customHeight="1">
      <c r="A8" t="s" s="8">
        <v>52</v>
      </c>
      <c r="B8" s="31">
        <f>C8/D7</f>
        <v>532.1739130434783</v>
      </c>
      <c r="C8" s="16">
        <v>204000</v>
      </c>
      <c r="D8" s="11"/>
      <c r="E8" s="11"/>
      <c r="F8" s="11"/>
      <c r="G8" s="11"/>
      <c r="H8" s="11"/>
    </row>
    <row r="9" ht="20.05" customHeight="1">
      <c r="A9" t="s" s="8">
        <v>53</v>
      </c>
      <c r="B9" s="31">
        <v>600</v>
      </c>
      <c r="C9" s="16">
        <f>B9*D$7</f>
        <v>230000</v>
      </c>
      <c r="D9" s="11"/>
      <c r="E9" s="11"/>
      <c r="F9" s="11"/>
      <c r="G9" s="11"/>
      <c r="H9" s="11"/>
    </row>
    <row r="10" ht="20.05" customHeight="1">
      <c r="A10" t="s" s="8">
        <v>54</v>
      </c>
      <c r="B10" s="31">
        <v>775</v>
      </c>
      <c r="C10" s="16">
        <f>B10*D$7</f>
        <v>297083.3333333333</v>
      </c>
      <c r="D10" s="11"/>
      <c r="E10" s="11"/>
      <c r="F10" s="11"/>
      <c r="G10" s="11"/>
      <c r="H10" s="11"/>
    </row>
    <row r="11" ht="20.05" customHeight="1">
      <c r="A11" t="s" s="8">
        <v>55</v>
      </c>
      <c r="B11" s="31">
        <v>298</v>
      </c>
      <c r="C11" s="16">
        <f>B11*D$7</f>
        <v>114233.3333333333</v>
      </c>
      <c r="D11" s="11"/>
      <c r="E11" s="11"/>
      <c r="F11" s="11"/>
      <c r="G11" s="11"/>
      <c r="H11" s="11"/>
    </row>
    <row r="12" ht="20.05" customHeight="1">
      <c r="A12" s="23"/>
      <c r="B12" s="22"/>
      <c r="C12" s="11"/>
      <c r="D12" s="11"/>
      <c r="E12" s="11"/>
      <c r="F12" s="11"/>
      <c r="G12" s="11"/>
      <c r="H12" s="11"/>
    </row>
    <row r="13" ht="20.05" customHeight="1">
      <c r="A13" t="s" s="12">
        <v>56</v>
      </c>
      <c r="B13" s="22"/>
      <c r="C13" s="11"/>
      <c r="D13" s="11"/>
      <c r="E13" s="11"/>
      <c r="F13" s="11"/>
      <c r="G13" s="11"/>
      <c r="H13" s="11"/>
    </row>
    <row r="14" ht="20.05" customHeight="1">
      <c r="A14" t="s" s="12">
        <v>57</v>
      </c>
      <c r="B14" s="31">
        <v>4</v>
      </c>
      <c r="C14" s="11"/>
      <c r="D14" s="11"/>
      <c r="E14" s="11"/>
      <c r="F14" s="11"/>
      <c r="G14" s="11"/>
      <c r="H14" s="11"/>
    </row>
    <row r="15" ht="20.05" customHeight="1">
      <c r="A15" t="s" s="12">
        <v>58</v>
      </c>
      <c r="B15" s="31">
        <v>20000</v>
      </c>
      <c r="C15" s="11"/>
      <c r="D15" s="11"/>
      <c r="E15" s="11"/>
      <c r="F15" s="11"/>
      <c r="G15" s="11"/>
      <c r="H15" s="11"/>
    </row>
    <row r="16" ht="20.05" customHeight="1">
      <c r="A16" t="s" s="12">
        <v>59</v>
      </c>
      <c r="B16" s="31">
        <v>24</v>
      </c>
      <c r="C16" s="11"/>
      <c r="D16" s="11"/>
      <c r="E16" s="11"/>
      <c r="F16" s="11"/>
      <c r="G16" s="11"/>
      <c r="H16" s="11"/>
    </row>
    <row r="17" ht="20.05" customHeight="1">
      <c r="A17" t="s" s="12">
        <v>60</v>
      </c>
      <c r="B17" s="31">
        <f>B15*B16*B14</f>
        <v>1920000</v>
      </c>
      <c r="C17" s="11"/>
      <c r="D17" s="11"/>
      <c r="E17" s="11"/>
      <c r="F17" s="11"/>
      <c r="G17" s="11"/>
      <c r="H17" s="11"/>
    </row>
    <row r="18" ht="20.05" customHeight="1">
      <c r="A18" t="s" s="12">
        <v>35</v>
      </c>
      <c r="B18" s="13">
        <v>6</v>
      </c>
      <c r="C18" s="30">
        <v>1</v>
      </c>
      <c r="D18" s="11"/>
      <c r="E18" s="11"/>
      <c r="F18" s="11"/>
      <c r="G18" s="11"/>
      <c r="H18" s="11"/>
    </row>
    <row r="19" ht="20.05" customHeight="1">
      <c r="A19" t="s" s="12">
        <v>34</v>
      </c>
      <c r="B19" s="13">
        <v>2</v>
      </c>
      <c r="C19" s="30">
        <v>2</v>
      </c>
      <c r="D19" s="11"/>
      <c r="E19" s="11"/>
      <c r="F19" s="11"/>
      <c r="G19" s="11"/>
      <c r="H19" s="11"/>
    </row>
    <row r="20" ht="20.05" customHeight="1">
      <c r="A20" t="s" s="12">
        <v>61</v>
      </c>
      <c r="B20" s="13">
        <f>B18*C18+B19*C19</f>
        <v>10</v>
      </c>
      <c r="C20" s="11"/>
      <c r="D20" s="11"/>
      <c r="E20" s="11"/>
      <c r="F20" s="11"/>
      <c r="G20" s="11"/>
      <c r="H20" s="11"/>
    </row>
    <row r="21" ht="20.05" customHeight="1">
      <c r="A21" t="s" s="12">
        <v>62</v>
      </c>
      <c r="B21" s="50">
        <f>B20*B14*B15</f>
        <v>800000</v>
      </c>
      <c r="C21" s="14">
        <f>B21*12</f>
        <v>9600000</v>
      </c>
      <c r="D21" s="11"/>
      <c r="E21" s="11"/>
      <c r="F21" s="11"/>
      <c r="G21" s="11"/>
      <c r="H21" s="11"/>
    </row>
    <row r="22" ht="20.05" customHeight="1">
      <c r="A22" t="s" s="12">
        <v>63</v>
      </c>
      <c r="B22" s="50">
        <v>6000</v>
      </c>
      <c r="C22" s="11"/>
      <c r="D22" s="11"/>
      <c r="E22" s="11"/>
      <c r="F22" s="11"/>
      <c r="G22" s="11"/>
      <c r="H22" s="11"/>
    </row>
    <row r="23" ht="20.05" customHeight="1">
      <c r="A23" t="s" s="12">
        <v>64</v>
      </c>
      <c r="B23" s="50">
        <f>B22*B18*B16</f>
        <v>864000</v>
      </c>
      <c r="C23" s="14">
        <f>B23*12</f>
        <v>10368000</v>
      </c>
      <c r="D23" s="11"/>
      <c r="E23" s="11"/>
      <c r="F23" s="11"/>
      <c r="G23" s="11"/>
      <c r="H23" s="11"/>
    </row>
    <row r="24" ht="20.05" customHeight="1">
      <c r="A24" s="23"/>
      <c r="B24" s="22"/>
      <c r="C24" s="11"/>
      <c r="D24" s="11"/>
      <c r="E24" s="11"/>
      <c r="F24" s="11"/>
      <c r="G24" s="11"/>
      <c r="H24" s="11"/>
    </row>
    <row r="25" ht="20.05" customHeight="1">
      <c r="A25" t="s" s="12">
        <v>65</v>
      </c>
      <c r="B25" s="31">
        <v>1500</v>
      </c>
      <c r="C25" s="16">
        <f>B25*12</f>
        <v>18000</v>
      </c>
      <c r="D25" s="16">
        <f>C25*1000/E31</f>
        <v>257.1428571428572</v>
      </c>
      <c r="E25" s="51">
        <f>D25/365</f>
        <v>0.7045009784735813</v>
      </c>
      <c r="F25" s="11"/>
      <c r="G25" s="11"/>
      <c r="H25" s="11"/>
    </row>
    <row r="26" ht="20.05" customHeight="1">
      <c r="A26" t="s" s="12">
        <v>66</v>
      </c>
      <c r="B26" s="50">
        <v>2</v>
      </c>
      <c r="C26" s="11"/>
      <c r="D26" s="11"/>
      <c r="E26" s="11"/>
      <c r="F26" s="11"/>
      <c r="G26" s="11"/>
      <c r="H26" s="11"/>
    </row>
    <row r="27" ht="20.05" customHeight="1">
      <c r="A27" t="s" s="12">
        <v>67</v>
      </c>
      <c r="B27" s="50">
        <f>B25*1000*B26</f>
        <v>3000000</v>
      </c>
      <c r="C27" s="14">
        <f>B27*12</f>
        <v>36000000</v>
      </c>
      <c r="D27" s="11"/>
      <c r="E27" s="11"/>
      <c r="F27" s="11"/>
      <c r="G27" s="11"/>
      <c r="H27" s="11"/>
    </row>
    <row r="28" ht="20.05" customHeight="1">
      <c r="A28" s="23"/>
      <c r="B28" s="50"/>
      <c r="C28" s="11"/>
      <c r="D28" t="s" s="15">
        <v>68</v>
      </c>
      <c r="E28" s="16">
        <v>8000</v>
      </c>
      <c r="F28" s="11"/>
      <c r="G28" s="11"/>
      <c r="H28" s="11"/>
    </row>
    <row r="29" ht="20.05" customHeight="1">
      <c r="A29" t="s" s="12">
        <v>69</v>
      </c>
      <c r="B29" s="50">
        <f>B27+B23+B21</f>
        <v>4664000</v>
      </c>
      <c r="C29" s="11"/>
      <c r="D29" s="11"/>
      <c r="E29" s="11"/>
      <c r="F29" s="11"/>
      <c r="G29" s="11"/>
      <c r="H29" s="11"/>
    </row>
    <row r="30" ht="20.05" customHeight="1">
      <c r="A30" t="s" s="12">
        <v>70</v>
      </c>
      <c r="B30" s="50">
        <f>B29*12</f>
        <v>55968000</v>
      </c>
      <c r="C30" s="11"/>
      <c r="D30" s="11"/>
      <c r="E30" s="11"/>
      <c r="F30" s="11"/>
      <c r="G30" s="11"/>
      <c r="H30" s="11"/>
    </row>
    <row r="31" ht="20.05" customHeight="1">
      <c r="A31" t="s" s="12">
        <v>30</v>
      </c>
      <c r="B31" s="50">
        <f>B30/E31</f>
        <v>799.5428571428571</v>
      </c>
      <c r="C31" s="11"/>
      <c r="D31" t="s" s="15">
        <v>10</v>
      </c>
      <c r="E31" s="16">
        <v>70000</v>
      </c>
      <c r="F31" s="11"/>
      <c r="G31" s="11"/>
      <c r="H31" s="11"/>
    </row>
    <row r="32" ht="20.05" customHeight="1">
      <c r="A32" t="s" s="12">
        <v>71</v>
      </c>
      <c r="B32" s="50">
        <f>B31*E33</f>
        <v>6995.999999999999</v>
      </c>
      <c r="C32" s="11"/>
      <c r="D32" t="s" s="15">
        <v>49</v>
      </c>
      <c r="E32" s="16">
        <v>8000</v>
      </c>
      <c r="F32" s="16">
        <f>E32*E28</f>
        <v>64000000</v>
      </c>
      <c r="G32" s="11"/>
      <c r="H32" s="11"/>
    </row>
    <row r="33" ht="20.05" customHeight="1">
      <c r="A33" t="s" s="12">
        <v>72</v>
      </c>
      <c r="B33" s="52">
        <f>B30/C25/1000</f>
        <v>3.109333333333333</v>
      </c>
      <c r="C33" s="11"/>
      <c r="D33" t="s" s="15">
        <v>73</v>
      </c>
      <c r="E33" s="30">
        <f>E31/E32</f>
        <v>8.75</v>
      </c>
      <c r="F33" s="11"/>
      <c r="G33" s="11"/>
      <c r="H33" s="11"/>
    </row>
    <row r="34" ht="20.05" customHeight="1">
      <c r="A34" s="23"/>
      <c r="B34" s="31"/>
      <c r="C34" s="11"/>
      <c r="D34" s="11"/>
      <c r="E34" s="11"/>
      <c r="F34" t="s" s="15">
        <v>74</v>
      </c>
      <c r="G34" s="11"/>
      <c r="H34" s="11"/>
    </row>
    <row r="35" ht="20.05" customHeight="1">
      <c r="A35" s="23"/>
      <c r="B35" s="31"/>
      <c r="C35" s="11"/>
      <c r="D35" s="11"/>
      <c r="E35" s="30">
        <v>1991</v>
      </c>
      <c r="F35" s="16">
        <v>34000</v>
      </c>
      <c r="G35" s="11"/>
      <c r="H35" s="11"/>
    </row>
    <row r="36" ht="20.05" customHeight="1">
      <c r="A36" s="23"/>
      <c r="B36" s="31"/>
      <c r="C36" s="11"/>
      <c r="D36" s="11"/>
      <c r="E36" s="30">
        <v>2001</v>
      </c>
      <c r="F36" s="16">
        <v>57000</v>
      </c>
      <c r="G36" s="11"/>
      <c r="H36" s="11"/>
    </row>
    <row r="37" ht="20.05" customHeight="1">
      <c r="A37" s="23"/>
      <c r="B37" s="31"/>
      <c r="C37" s="11"/>
      <c r="D37" s="11"/>
      <c r="E37" s="30">
        <v>2010</v>
      </c>
      <c r="F37" s="16">
        <v>75000</v>
      </c>
      <c r="G37" s="16">
        <v>57000</v>
      </c>
      <c r="H37" s="53"/>
    </row>
    <row r="38" ht="20.05" customHeight="1">
      <c r="A38" s="23"/>
      <c r="B38" s="31"/>
      <c r="C38" s="11"/>
      <c r="D38" s="11"/>
      <c r="E38" s="30">
        <v>2018</v>
      </c>
      <c r="F38" s="16">
        <f>F37+2000*7</f>
        <v>89000</v>
      </c>
      <c r="G38" s="16">
        <f>G37+1500*7</f>
        <v>67500</v>
      </c>
      <c r="H38" s="16"/>
    </row>
    <row r="39" ht="20.05" customHeight="1">
      <c r="A39" s="23"/>
      <c r="B39" s="31"/>
      <c r="C39" s="11"/>
      <c r="D39" s="11"/>
      <c r="E39" s="11"/>
      <c r="F39" s="11"/>
      <c r="G39" s="11"/>
      <c r="H39" s="11"/>
    </row>
    <row r="40" ht="20.05" customHeight="1">
      <c r="A40" t="s" s="12">
        <v>75</v>
      </c>
      <c r="B40" s="31">
        <v>8000</v>
      </c>
      <c r="C40" s="11"/>
      <c r="D40" s="11"/>
      <c r="E40" s="11"/>
      <c r="F40" s="54"/>
      <c r="G40" s="11"/>
      <c r="H40" s="11"/>
    </row>
    <row r="41" ht="20.05" customHeight="1">
      <c r="A41" s="23"/>
      <c r="B41" s="31">
        <f>B40/E25</f>
        <v>11355.555555555555</v>
      </c>
      <c r="C41" s="11"/>
      <c r="D41" s="11"/>
      <c r="E41" s="11"/>
      <c r="F41" s="11"/>
      <c r="G41" s="11"/>
      <c r="H41" s="11"/>
    </row>
    <row r="42" ht="20.05" customHeight="1">
      <c r="A42" s="23"/>
      <c r="B42" s="55">
        <f>E31/B41</f>
        <v>6.164383561643836</v>
      </c>
      <c r="C42" s="11"/>
      <c r="D42" s="11"/>
      <c r="E42" s="11"/>
      <c r="F42" s="11"/>
      <c r="G42" s="11"/>
      <c r="H42" s="11"/>
    </row>
    <row r="43" ht="20.05" customHeight="1">
      <c r="A43" s="23"/>
      <c r="B43" s="31"/>
      <c r="C43" s="11"/>
      <c r="D43" s="11"/>
      <c r="E43" s="11"/>
      <c r="F43" s="11"/>
      <c r="G43" s="11"/>
      <c r="H43" s="11"/>
    </row>
    <row r="44" ht="20.05" customHeight="1">
      <c r="A44" s="23"/>
      <c r="B44" s="31"/>
      <c r="C44" s="11"/>
      <c r="D44" s="11"/>
      <c r="E44" s="11"/>
      <c r="F44" s="11"/>
      <c r="G44" s="11"/>
      <c r="H44" s="11"/>
    </row>
    <row r="45" ht="20.05" customHeight="1">
      <c r="A45" s="23"/>
      <c r="B45" s="31"/>
      <c r="C45" s="11"/>
      <c r="D45" s="11"/>
      <c r="E45" s="11"/>
      <c r="F45" s="11"/>
      <c r="G45" s="11"/>
      <c r="H45" s="11"/>
    </row>
    <row r="46" ht="20.05" customHeight="1">
      <c r="A46" s="23"/>
      <c r="B46" s="31"/>
      <c r="C46" s="11"/>
      <c r="D46" s="11"/>
      <c r="E46" s="11"/>
      <c r="F46" s="11"/>
      <c r="G46" s="11"/>
      <c r="H46" s="11"/>
    </row>
    <row r="47" ht="20.05" customHeight="1">
      <c r="A47" s="23"/>
      <c r="B47" s="31"/>
      <c r="C47" s="11"/>
      <c r="D47" s="11"/>
      <c r="E47" s="11"/>
      <c r="F47" s="11"/>
      <c r="G47" s="11"/>
      <c r="H47" s="11"/>
    </row>
    <row r="48" ht="20.05" customHeight="1">
      <c r="A48" s="23"/>
      <c r="B48" s="31"/>
      <c r="C48" s="11"/>
      <c r="D48" s="11"/>
      <c r="E48" s="11"/>
      <c r="F48" s="11"/>
      <c r="G48" s="11"/>
      <c r="H48" s="11"/>
    </row>
    <row r="49" ht="20.05" customHeight="1">
      <c r="A49" s="23"/>
      <c r="B49" s="31"/>
      <c r="C49" s="11"/>
      <c r="D49" s="11"/>
      <c r="E49" s="11"/>
      <c r="F49" s="11"/>
      <c r="G49" s="11"/>
      <c r="H49" s="11"/>
    </row>
    <row r="50" ht="20.05" customHeight="1">
      <c r="A50" s="23"/>
      <c r="B50" s="31"/>
      <c r="C50" s="11"/>
      <c r="D50" s="11"/>
      <c r="E50" s="11"/>
      <c r="F50" s="11"/>
      <c r="G50" s="11"/>
      <c r="H50" s="11"/>
    </row>
    <row r="51" ht="20.05" customHeight="1">
      <c r="A51" s="23"/>
      <c r="B51" s="31"/>
      <c r="C51" s="11"/>
      <c r="D51" s="11"/>
      <c r="E51" s="11"/>
      <c r="F51" s="11"/>
      <c r="G51" s="11"/>
      <c r="H51" s="11"/>
    </row>
    <row r="52" ht="20.05" customHeight="1">
      <c r="A52" s="23"/>
      <c r="B52" s="31"/>
      <c r="C52" s="11"/>
      <c r="D52" s="11"/>
      <c r="E52" s="11"/>
      <c r="F52" s="11"/>
      <c r="G52" s="11"/>
      <c r="H52" s="11"/>
    </row>
    <row r="53" ht="20.05" customHeight="1">
      <c r="A53" s="23"/>
      <c r="B53" s="31"/>
      <c r="C53" s="11"/>
      <c r="D53" s="11"/>
      <c r="E53" s="11"/>
      <c r="F53" s="11"/>
      <c r="G53" s="11"/>
      <c r="H53" s="11"/>
    </row>
  </sheetData>
  <mergeCells count="1">
    <mergeCell ref="A1:H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3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56" customWidth="1"/>
    <col min="7" max="256" width="16.3516" style="56" customWidth="1"/>
  </cols>
  <sheetData>
    <row r="1" ht="27.65" customHeight="1">
      <c r="A1" t="s" s="2">
        <v>76</v>
      </c>
      <c r="B1" s="2"/>
      <c r="C1" s="2"/>
      <c r="D1" s="2"/>
      <c r="E1" s="2"/>
      <c r="F1" s="2"/>
    </row>
    <row r="2" ht="20.25" customHeight="1">
      <c r="A2" s="3"/>
      <c r="B2" s="3"/>
      <c r="C2" s="3"/>
      <c r="D2" s="3"/>
      <c r="E2" s="3"/>
      <c r="F2" s="3"/>
    </row>
    <row r="3" ht="20.25" customHeight="1">
      <c r="A3" s="44"/>
      <c r="B3" s="45"/>
      <c r="C3" s="46"/>
      <c r="D3" s="46"/>
      <c r="E3" s="46"/>
      <c r="F3" s="46"/>
    </row>
    <row r="4" ht="20.35" customHeight="1">
      <c r="A4" s="23"/>
      <c r="B4" s="57"/>
      <c r="C4" t="s" s="58">
        <v>77</v>
      </c>
      <c r="D4" t="s" s="58">
        <v>78</v>
      </c>
      <c r="E4" t="s" s="15">
        <v>79</v>
      </c>
      <c r="F4" s="11"/>
    </row>
    <row r="5" ht="20.7" customHeight="1">
      <c r="A5" s="59"/>
      <c r="B5" t="s" s="60">
        <v>80</v>
      </c>
      <c r="C5" s="61">
        <v>6</v>
      </c>
      <c r="D5" s="61">
        <f>C5*1000/30</f>
        <v>200</v>
      </c>
      <c r="E5" s="62">
        <f>C5/C$14</f>
        <v>0.002184200946487077</v>
      </c>
      <c r="F5" s="53"/>
    </row>
    <row r="6" ht="20.7" customHeight="1">
      <c r="A6" s="59"/>
      <c r="B6" t="s" s="60">
        <v>81</v>
      </c>
      <c r="C6" s="61">
        <v>48</v>
      </c>
      <c r="D6" s="61">
        <f>C6*1000/30</f>
        <v>1600</v>
      </c>
      <c r="E6" s="62">
        <f>C6/C$14</f>
        <v>0.01747360757189662</v>
      </c>
      <c r="F6" s="53"/>
    </row>
    <row r="7" ht="20.7" customHeight="1">
      <c r="A7" s="59"/>
      <c r="B7" t="s" s="60">
        <v>82</v>
      </c>
      <c r="C7" s="61">
        <v>154</v>
      </c>
      <c r="D7" s="61">
        <f>C7*1000/30</f>
        <v>5133.333333333333</v>
      </c>
      <c r="E7" s="62">
        <f>C7/C$14</f>
        <v>0.05606115762650164</v>
      </c>
      <c r="F7" s="53"/>
    </row>
    <row r="8" ht="20.7" customHeight="1">
      <c r="A8" s="59"/>
      <c r="B8" t="s" s="60">
        <v>83</v>
      </c>
      <c r="C8" s="61">
        <v>28</v>
      </c>
      <c r="D8" s="61">
        <f>C8*1000/30</f>
        <v>933.3333333333334</v>
      </c>
      <c r="E8" s="62">
        <f>C8/C$14</f>
        <v>0.01019293775027303</v>
      </c>
      <c r="F8" s="53"/>
    </row>
    <row r="9" ht="20.7" customHeight="1">
      <c r="A9" s="59"/>
      <c r="B9" t="s" s="60">
        <v>84</v>
      </c>
      <c r="C9" s="61">
        <v>22</v>
      </c>
      <c r="D9" s="61">
        <f>C9*1000/30</f>
        <v>733.3333333333334</v>
      </c>
      <c r="E9" s="62">
        <f>C9/C$14</f>
        <v>0.008008736803785948</v>
      </c>
      <c r="F9" s="53"/>
    </row>
    <row r="10" ht="20.7" customHeight="1">
      <c r="A10" s="59"/>
      <c r="B10" t="s" s="60">
        <v>85</v>
      </c>
      <c r="C10" s="61">
        <v>1</v>
      </c>
      <c r="D10" s="61">
        <f>C10*1000/30</f>
        <v>33.33333333333334</v>
      </c>
      <c r="E10" s="62">
        <f>C10/C$14</f>
        <v>0.0003640334910811795</v>
      </c>
      <c r="F10" s="53"/>
    </row>
    <row r="11" ht="20.7" customHeight="1">
      <c r="A11" s="59"/>
      <c r="B11" t="s" s="60">
        <v>86</v>
      </c>
      <c r="C11" s="61">
        <v>2</v>
      </c>
      <c r="D11" s="61">
        <f>C11*1000/30</f>
        <v>66.66666666666667</v>
      </c>
      <c r="E11" s="62">
        <f>C11/C$14</f>
        <v>0.0007280669821623589</v>
      </c>
      <c r="F11" s="53"/>
    </row>
    <row r="12" ht="20.7" customHeight="1">
      <c r="A12" s="59"/>
      <c r="B12" t="s" s="60">
        <v>87</v>
      </c>
      <c r="C12" s="61">
        <v>15</v>
      </c>
      <c r="D12" s="61">
        <f>C12*1000/30</f>
        <v>500</v>
      </c>
      <c r="E12" s="62">
        <f>C12/C$14</f>
        <v>0.005460502366217692</v>
      </c>
      <c r="F12" s="53"/>
    </row>
    <row r="13" ht="20.7" customHeight="1">
      <c r="A13" s="59"/>
      <c r="B13" t="s" s="60">
        <v>88</v>
      </c>
      <c r="C13" s="61">
        <v>2471</v>
      </c>
      <c r="D13" s="61">
        <f>C13*1000/30</f>
        <v>82366.666666666672</v>
      </c>
      <c r="E13" s="62">
        <f>C13/C$14</f>
        <v>0.8995267564615944</v>
      </c>
      <c r="F13" s="53"/>
    </row>
    <row r="14" ht="20.7" customHeight="1">
      <c r="A14" s="59"/>
      <c r="B14" s="63"/>
      <c r="C14" s="64">
        <f>SUM(C3:C13)</f>
        <v>2747</v>
      </c>
      <c r="D14" s="61"/>
      <c r="E14" s="65"/>
      <c r="F14" s="11"/>
    </row>
    <row r="15" ht="20.7" customHeight="1">
      <c r="A15" s="59"/>
      <c r="B15" s="63"/>
      <c r="C15" s="66"/>
      <c r="D15" s="61"/>
      <c r="E15" s="65"/>
      <c r="F15" s="11"/>
    </row>
    <row r="16" ht="20.7" customHeight="1">
      <c r="A16" s="59"/>
      <c r="B16" t="s" s="60">
        <v>89</v>
      </c>
      <c r="C16" s="64">
        <v>1126</v>
      </c>
      <c r="D16" s="67">
        <f>C16/C18</f>
        <v>0.4562398703403566</v>
      </c>
      <c r="E16" s="65"/>
      <c r="F16" s="11"/>
    </row>
    <row r="17" ht="20.7" customHeight="1">
      <c r="A17" s="59"/>
      <c r="B17" t="s" s="60">
        <v>90</v>
      </c>
      <c r="C17" s="64">
        <v>1342</v>
      </c>
      <c r="D17" s="67">
        <f>1-D16</f>
        <v>0.5437601296596435</v>
      </c>
      <c r="E17" s="65"/>
      <c r="F17" s="11"/>
    </row>
    <row r="18" ht="20.7" customHeight="1">
      <c r="A18" s="59"/>
      <c r="B18" s="63"/>
      <c r="C18" s="64">
        <f>C17+C16</f>
        <v>2468</v>
      </c>
      <c r="D18" s="61"/>
      <c r="E18" s="65"/>
      <c r="F18" s="11"/>
    </row>
    <row r="19" ht="20.7" customHeight="1">
      <c r="A19" s="59"/>
      <c r="B19" s="63"/>
      <c r="C19" s="66"/>
      <c r="D19" s="61"/>
      <c r="E19" s="68"/>
      <c r="F19" s="69"/>
    </row>
    <row r="20" ht="20.7" customHeight="1">
      <c r="A20" s="59"/>
      <c r="B20" s="63"/>
      <c r="C20" s="70"/>
      <c r="D20" s="70"/>
      <c r="E20" s="70"/>
      <c r="F20" s="70"/>
    </row>
    <row r="21" ht="20.7" customHeight="1">
      <c r="A21" s="59"/>
      <c r="B21" s="63"/>
      <c r="C21" s="70"/>
      <c r="D21" s="70"/>
      <c r="E21" s="70"/>
      <c r="F21" s="70"/>
    </row>
    <row r="22" ht="20.7" customHeight="1">
      <c r="A22" s="59"/>
      <c r="B22" s="71"/>
      <c r="C22" t="s" s="72">
        <v>89</v>
      </c>
      <c r="D22" t="s" s="60">
        <v>91</v>
      </c>
      <c r="E22" s="70"/>
      <c r="F22" s="70"/>
    </row>
    <row r="23" ht="20.7" customHeight="1">
      <c r="A23" s="59"/>
      <c r="B23" s="71"/>
      <c r="C23" t="s" s="72">
        <v>92</v>
      </c>
      <c r="D23" t="s" s="60">
        <v>93</v>
      </c>
      <c r="E23" s="73"/>
      <c r="F23" s="63"/>
    </row>
    <row r="24" ht="20.7" customHeight="1">
      <c r="A24" s="59"/>
      <c r="B24" s="71"/>
      <c r="C24" t="s" s="74">
        <v>90</v>
      </c>
      <c r="D24" t="s" s="60">
        <v>94</v>
      </c>
      <c r="E24" s="70"/>
      <c r="F24" s="70"/>
    </row>
    <row r="25" ht="20.7" customHeight="1">
      <c r="A25" s="59"/>
      <c r="B25" s="63"/>
      <c r="C25" s="70"/>
      <c r="D25" s="70"/>
      <c r="E25" s="70"/>
      <c r="F25" s="70"/>
    </row>
    <row r="26" ht="20.7" customHeight="1">
      <c r="A26" s="59"/>
      <c r="B26" s="63"/>
      <c r="C26" s="70"/>
      <c r="D26" s="70"/>
      <c r="E26" s="70"/>
      <c r="F26" s="70"/>
    </row>
    <row r="27" ht="20.7" customHeight="1">
      <c r="A27" s="59"/>
      <c r="B27" s="63"/>
      <c r="C27" s="75">
        <v>1991</v>
      </c>
      <c r="D27" s="76">
        <v>46612</v>
      </c>
      <c r="E27" s="77">
        <v>34901</v>
      </c>
      <c r="F27" s="78"/>
    </row>
    <row r="28" ht="20.7" customHeight="1">
      <c r="A28" s="59"/>
      <c r="B28" s="63"/>
      <c r="C28" s="75">
        <v>2001</v>
      </c>
      <c r="D28" s="76">
        <v>63707</v>
      </c>
      <c r="E28" s="77">
        <v>50057</v>
      </c>
      <c r="F28" s="78"/>
    </row>
    <row r="29" ht="20.7" customHeight="1">
      <c r="A29" s="59"/>
      <c r="B29" s="63"/>
      <c r="C29" s="75">
        <v>2010</v>
      </c>
      <c r="D29" s="79">
        <v>76076</v>
      </c>
      <c r="E29" s="79">
        <v>61607</v>
      </c>
      <c r="F29" s="80">
        <f>E29/D29</f>
        <v>0.8098086124401914</v>
      </c>
    </row>
    <row r="30" ht="20.7" customHeight="1">
      <c r="A30" s="59"/>
      <c r="B30" s="63"/>
      <c r="C30" s="75">
        <v>2018</v>
      </c>
      <c r="D30" s="79">
        <f>E30/F$29</f>
        <v>89906.428360413585</v>
      </c>
      <c r="E30" s="81">
        <f>E$29+(C30-C$29)*1400</f>
        <v>72807</v>
      </c>
      <c r="F30" s="70"/>
    </row>
    <row r="31" ht="20.7" customHeight="1">
      <c r="A31" s="59"/>
      <c r="B31" s="63"/>
      <c r="C31" s="75">
        <v>2035</v>
      </c>
      <c r="D31" s="79">
        <f>E31/F$29</f>
        <v>119296.0886262925</v>
      </c>
      <c r="E31" s="81">
        <f>E$29+(C31-C$29)*1400</f>
        <v>96607</v>
      </c>
      <c r="F31" s="70"/>
    </row>
    <row r="32" ht="20.7" customHeight="1">
      <c r="A32" s="59"/>
      <c r="B32" s="63"/>
      <c r="C32" s="70"/>
      <c r="D32" s="79">
        <v>120000</v>
      </c>
      <c r="E32" s="70"/>
      <c r="F32" s="70"/>
    </row>
    <row r="33" ht="20.7" customHeight="1">
      <c r="A33" s="59"/>
      <c r="B33" s="63"/>
      <c r="C33" s="70"/>
      <c r="D33" s="82">
        <f>D32/D29</f>
        <v>1.57736999842263</v>
      </c>
      <c r="E33" s="75">
        <f>(1-D33)/8</f>
        <v>-0.07217124980282874</v>
      </c>
      <c r="F33" s="70"/>
    </row>
  </sheetData>
  <mergeCells count="2">
    <mergeCell ref="A1:F1"/>
    <mergeCell ref="D23:E23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